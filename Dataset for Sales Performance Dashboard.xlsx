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shansha\Downloads\"/>
    </mc:Choice>
  </mc:AlternateContent>
  <xr:revisionPtr revIDLastSave="0" documentId="13_ncr:1_{388BD96C-E960-4B8A-9D7C-AD002EA617C8}" xr6:coauthVersionLast="47" xr6:coauthVersionMax="47" xr10:uidLastSave="{00000000-0000-0000-0000-000000000000}"/>
  <bookViews>
    <workbookView xWindow="-98" yWindow="-98" windowWidth="21795" windowHeight="12975" xr2:uid="{08A9B9BD-8BBE-481D-98D9-3AAE05C5965B}"/>
  </bookViews>
  <sheets>
    <sheet name="SalesData" sheetId="1" r:id="rId1"/>
    <sheet name="Pivot Tables" sheetId="2" r:id="rId2"/>
    <sheet name="Dashboard" sheetId="5"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C27" i="1"/>
  <c r="C25" i="1"/>
  <c r="C24" i="1"/>
  <c r="O2" i="1"/>
  <c r="O3" i="1"/>
  <c r="O4" i="1"/>
  <c r="O5" i="1"/>
  <c r="O6" i="1"/>
  <c r="O7" i="1"/>
  <c r="O8" i="1"/>
  <c r="O9" i="1"/>
  <c r="O10" i="1"/>
  <c r="O11" i="1"/>
  <c r="O12" i="1"/>
  <c r="O13" i="1"/>
  <c r="O14" i="1"/>
  <c r="O15" i="1"/>
  <c r="O16" i="1"/>
  <c r="O17" i="1"/>
  <c r="O18" i="1"/>
  <c r="O19" i="1"/>
  <c r="O20" i="1"/>
  <c r="O21" i="1"/>
  <c r="N2" i="1"/>
  <c r="N3" i="1"/>
  <c r="N4" i="1"/>
  <c r="N5" i="1"/>
  <c r="N6" i="1"/>
  <c r="N7" i="1"/>
  <c r="N8" i="1"/>
  <c r="N9" i="1"/>
  <c r="N10" i="1"/>
  <c r="N11" i="1"/>
  <c r="N12" i="1"/>
  <c r="N13" i="1"/>
  <c r="N14" i="1"/>
  <c r="N15" i="1"/>
  <c r="N16" i="1"/>
  <c r="N17" i="1"/>
  <c r="N18" i="1"/>
  <c r="N19" i="1"/>
  <c r="N20" i="1"/>
  <c r="N21" i="1"/>
  <c r="M2" i="1"/>
  <c r="M3" i="1"/>
  <c r="M4" i="1"/>
  <c r="M5" i="1"/>
  <c r="M6" i="1"/>
  <c r="M7" i="1"/>
  <c r="M8" i="1"/>
  <c r="M9" i="1"/>
  <c r="M10" i="1"/>
  <c r="M11" i="1"/>
  <c r="M12" i="1"/>
  <c r="M13" i="1"/>
  <c r="M14" i="1"/>
  <c r="M15" i="1"/>
  <c r="M16" i="1"/>
  <c r="M17" i="1"/>
  <c r="M18" i="1"/>
  <c r="M19" i="1"/>
  <c r="M20" i="1"/>
  <c r="M21" i="1"/>
  <c r="L2" i="1"/>
  <c r="L3" i="1"/>
  <c r="L4" i="1"/>
  <c r="L5" i="1"/>
  <c r="L6" i="1"/>
  <c r="L7" i="1"/>
  <c r="L8" i="1"/>
  <c r="L9" i="1"/>
  <c r="L10" i="1"/>
  <c r="L11" i="1"/>
  <c r="L12" i="1"/>
  <c r="L13" i="1"/>
  <c r="L14" i="1"/>
  <c r="L15" i="1"/>
  <c r="L16" i="1"/>
  <c r="L17" i="1"/>
  <c r="L18" i="1"/>
  <c r="L19" i="1"/>
  <c r="L20" i="1"/>
  <c r="L21" i="1"/>
</calcChain>
</file>

<file path=xl/sharedStrings.xml><?xml version="1.0" encoding="utf-8"?>
<sst xmlns="http://schemas.openxmlformats.org/spreadsheetml/2006/main" count="130" uniqueCount="61">
  <si>
    <t>Order_ID</t>
  </si>
  <si>
    <t>Order_Date</t>
  </si>
  <si>
    <t>Region</t>
  </si>
  <si>
    <t>Category</t>
  </si>
  <si>
    <t>Product</t>
  </si>
  <si>
    <t>Salesperson</t>
  </si>
  <si>
    <t>Quantity</t>
  </si>
  <si>
    <t>Unit_Price</t>
  </si>
  <si>
    <t>Sales</t>
  </si>
  <si>
    <t>Cost</t>
  </si>
  <si>
    <t>Profit</t>
  </si>
  <si>
    <t>North</t>
  </si>
  <si>
    <t>Electronics</t>
  </si>
  <si>
    <t>Laptop</t>
  </si>
  <si>
    <t>Amit</t>
  </si>
  <si>
    <t>West</t>
  </si>
  <si>
    <t>Furniture</t>
  </si>
  <si>
    <t>Chair</t>
  </si>
  <si>
    <t>Riya</t>
  </si>
  <si>
    <t>South</t>
  </si>
  <si>
    <t>East</t>
  </si>
  <si>
    <t>Mobile</t>
  </si>
  <si>
    <t>Neha</t>
  </si>
  <si>
    <t>Table</t>
  </si>
  <si>
    <t>Tablet</t>
  </si>
  <si>
    <t>Karan</t>
  </si>
  <si>
    <t>Sofa</t>
  </si>
  <si>
    <t>Monitor</t>
  </si>
  <si>
    <t>Desk</t>
  </si>
  <si>
    <t>Headphones</t>
  </si>
  <si>
    <t>Wardrobe</t>
  </si>
  <si>
    <t>Camera</t>
  </si>
  <si>
    <t>Stool</t>
  </si>
  <si>
    <t>Speaker</t>
  </si>
  <si>
    <t>Bed</t>
  </si>
  <si>
    <t>Office Supplies</t>
  </si>
  <si>
    <t>Printer</t>
  </si>
  <si>
    <t>Paper</t>
  </si>
  <si>
    <t>Pen Set</t>
  </si>
  <si>
    <t>Notebook</t>
  </si>
  <si>
    <t>Scanner</t>
  </si>
  <si>
    <t>Markers</t>
  </si>
  <si>
    <t>Month</t>
  </si>
  <si>
    <t>Quarter</t>
  </si>
  <si>
    <t>Year</t>
  </si>
  <si>
    <t>Profit Margin %</t>
  </si>
  <si>
    <t>KPI Cards</t>
  </si>
  <si>
    <t xml:space="preserve">Total Sales </t>
  </si>
  <si>
    <t>Total Quantity</t>
  </si>
  <si>
    <t>Order Count</t>
  </si>
  <si>
    <t>Row Labels</t>
  </si>
  <si>
    <t>Grand Total</t>
  </si>
  <si>
    <t>Sum of Sales</t>
  </si>
  <si>
    <t xml:space="preserve">1. Sales Of Region </t>
  </si>
  <si>
    <t>2.Monthly Sales Trend</t>
  </si>
  <si>
    <t>Jan</t>
  </si>
  <si>
    <t>Feb</t>
  </si>
  <si>
    <t>3.Profite By Category</t>
  </si>
  <si>
    <t>Sum of Profit</t>
  </si>
  <si>
    <t>4. Top 5 Products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</si>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</sst>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9">
    <border>
      <left/>
      <right/>
      <top/>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top style="medium">
        <color indexed="64"/>
      </top>
      <bottom style="medium">
        <color indexed="64"/>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2" xfId="0" applyBorder="1"/>
    <xf numFmtId="0" fontId="0" fillId="0" borderId="4" xfId="0" applyBorder="1"/>
    <xf numFmtId="0" fontId="0" fillId="0" borderId="1" xfId="0" applyBorder="1"/>
    <xf numFmtId="0" fontId="0" fillId="0" borderId="6" xfId="0" applyBorder="1"/>
    <xf numFmtId="0" fontId="0" fillId="0" borderId="8" xfId="0" applyBorder="1"/>
    <xf numFmtId="0" fontId="0" fillId="0" borderId="7" xfId="0" applyBorder="1"/>
    <xf numFmtId="0" fontId="0" fillId="0" borderId="0" xfId="0" pivotButton="1"/>
    <xf numFmtId="0" fontId="0" fillId="0" borderId="0" xfId="0" applyAlignment="1">
      <alignment horizontal="left"/>
    </xf>
    <xf numFmtId="0" fontId="3" fillId="0" borderId="0" xfId="0" applyFont="1"/>
    <xf numFmtId="164" fontId="0" fillId="0" borderId="5" xfId="2" applyNumberFormat="1" applyFont="1" applyBorder="1"/>
    <xf numFmtId="0" fontId="0" fillId="3" borderId="0" xfId="0" applyFill="1"/>
    <xf numFmtId="9" fontId="0" fillId="3" borderId="0" xfId="1" applyFont="1" applyFill="1"/>
    <xf numFmtId="0" fontId="2" fillId="2" borderId="1" xfId="0" applyFont="1" applyFill="1" applyBorder="1" applyAlignment="1">
      <alignment horizontal="center"/>
    </xf>
    <xf numFmtId="0" fontId="0" fillId="2" borderId="3" xfId="0" applyFill="1" applyBorder="1" applyAlignment="1">
      <alignment horizontal="center"/>
    </xf>
  </cellXfs>
  <cellStyles count="3">
    <cellStyle name="Currency" xfId="2" builtinId="4"/>
    <cellStyle name="Normal" xfId="0" builtinId="0"/>
    <cellStyle name="Percent" xfId="1" builtinId="5"/>
  </cellStyles>
  <dxfs count="5">
    <dxf>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Sales Performance Dashboard.xlsx]Pivot Tables!PivotTable1</c:name>
    <c:fmtId val="15"/>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b="1" i="1" u="sng">
                <a:solidFill>
                  <a:schemeClr val="tx1"/>
                </a:solidFill>
                <a:latin typeface="Arial Black" panose="020B0A04020102020204" pitchFamily="34" charset="0"/>
              </a:rPr>
              <a:t>sALES</a:t>
            </a:r>
            <a:r>
              <a:rPr lang="en-US" sz="1400" b="1" i="1" u="sng" baseline="0">
                <a:solidFill>
                  <a:schemeClr val="tx1"/>
                </a:solidFill>
                <a:latin typeface="Arial Black" panose="020B0A04020102020204" pitchFamily="34" charset="0"/>
              </a:rPr>
              <a:t> OF REGION</a:t>
            </a:r>
            <a:endParaRPr lang="en-US" sz="1400" b="1" i="1" u="sng">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246600</c:v>
                </c:pt>
                <c:pt idx="1">
                  <c:v>154800</c:v>
                </c:pt>
                <c:pt idx="2">
                  <c:v>163000</c:v>
                </c:pt>
                <c:pt idx="3">
                  <c:v>130500</c:v>
                </c:pt>
              </c:numCache>
            </c:numRef>
          </c:val>
          <c:extLst>
            <c:ext xmlns:c16="http://schemas.microsoft.com/office/drawing/2014/chart" uri="{C3380CC4-5D6E-409C-BE32-E72D297353CC}">
              <c16:uniqueId val="{00000000-5BF3-4B42-B878-EEA6748CD03F}"/>
            </c:ext>
          </c:extLst>
        </c:ser>
        <c:dLbls>
          <c:showLegendKey val="0"/>
          <c:showVal val="1"/>
          <c:showCatName val="0"/>
          <c:showSerName val="0"/>
          <c:showPercent val="0"/>
          <c:showBubbleSize val="0"/>
        </c:dLbls>
        <c:gapWidth val="79"/>
        <c:shape val="box"/>
        <c:axId val="725382575"/>
        <c:axId val="725383055"/>
        <c:axId val="0"/>
      </c:bar3DChart>
      <c:catAx>
        <c:axId val="72538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5383055"/>
        <c:crosses val="autoZero"/>
        <c:auto val="1"/>
        <c:lblAlgn val="ctr"/>
        <c:lblOffset val="100"/>
        <c:noMultiLvlLbl val="0"/>
      </c:catAx>
      <c:valAx>
        <c:axId val="72538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Sales Performance Dashboard.xlsx]Pivot Tables!PivotTable4</c:name>
    <c:fmtId val="5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i="1" u="sng">
                <a:solidFill>
                  <a:schemeClr val="tx1"/>
                </a:solidFill>
                <a:latin typeface="Arial Black" panose="020B0A04020102020204" pitchFamily="34" charset="0"/>
              </a:rPr>
              <a:t>Monthly Sales Trend</a:t>
            </a:r>
          </a:p>
        </c:rich>
      </c:tx>
      <c:layout>
        <c:manualLayout>
          <c:xMode val="edge"/>
          <c:yMode val="edge"/>
          <c:x val="0.17099753420760541"/>
          <c:y val="2.78313138318850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3071182377126"/>
          <c:y val="0.30561259842519684"/>
          <c:w val="0.79671773120050537"/>
          <c:h val="0.55263056403663824"/>
        </c:manualLayout>
      </c:layout>
      <c:lineChart>
        <c:grouping val="standard"/>
        <c:varyColors val="0"/>
        <c:ser>
          <c:idx val="0"/>
          <c:order val="0"/>
          <c:tx>
            <c:strRef>
              <c:f>'Pivot Tables'!$E$3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Tables'!$D$4:$D$6</c:f>
              <c:strCache>
                <c:ptCount val="2"/>
                <c:pt idx="0">
                  <c:v>Jan</c:v>
                </c:pt>
                <c:pt idx="1">
                  <c:v>Feb</c:v>
                </c:pt>
              </c:strCache>
            </c:strRef>
          </c:cat>
          <c:val>
            <c:numRef>
              <c:f>'Pivot Tables'!$E$4:$E$6</c:f>
              <c:numCache>
                <c:formatCode>General</c:formatCode>
                <c:ptCount val="2"/>
                <c:pt idx="0">
                  <c:v>419500</c:v>
                </c:pt>
                <c:pt idx="1">
                  <c:v>275400</c:v>
                </c:pt>
              </c:numCache>
            </c:numRef>
          </c:val>
          <c:smooth val="0"/>
          <c:extLst>
            <c:ext xmlns:c16="http://schemas.microsoft.com/office/drawing/2014/chart" uri="{C3380CC4-5D6E-409C-BE32-E72D297353CC}">
              <c16:uniqueId val="{00000000-D3D2-4C03-A637-BAD89304F6EA}"/>
            </c:ext>
          </c:extLst>
        </c:ser>
        <c:dLbls>
          <c:dLblPos val="t"/>
          <c:showLegendKey val="0"/>
          <c:showVal val="1"/>
          <c:showCatName val="0"/>
          <c:showSerName val="0"/>
          <c:showPercent val="0"/>
          <c:showBubbleSize val="0"/>
        </c:dLbls>
        <c:marker val="1"/>
        <c:smooth val="0"/>
        <c:axId val="2078673871"/>
        <c:axId val="2078680111"/>
      </c:lineChart>
      <c:catAx>
        <c:axId val="2078673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80111"/>
        <c:crosses val="autoZero"/>
        <c:auto val="1"/>
        <c:lblAlgn val="ctr"/>
        <c:lblOffset val="100"/>
        <c:noMultiLvlLbl val="0"/>
      </c:catAx>
      <c:valAx>
        <c:axId val="207868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Sales Performance Dashboard.xlsx]Pivot Tables!PivotTable5</c:name>
    <c:fmtId val="49"/>
  </c:pivotSource>
  <c:chart>
    <c:title>
      <c:tx>
        <c:rich>
          <a:bodyPr rot="0" spcFirstLastPara="1" vertOverflow="ellipsis" vert="horz" wrap="square" anchor="ctr" anchorCtr="1"/>
          <a:lstStyle/>
          <a:p>
            <a:pPr>
              <a:defRPr sz="1500" b="1" i="1" u="sng" strike="noStrike" kern="1200" cap="none" spc="0" normalizeH="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r>
              <a:rPr lang="en-IN" b="1" i="1" u="sng">
                <a:latin typeface="Arial Black" panose="020B0A04020102020204" pitchFamily="34" charset="0"/>
              </a:rPr>
              <a:t>Profit By Category </a:t>
            </a:r>
          </a:p>
        </c:rich>
      </c:tx>
      <c:layout>
        <c:manualLayout>
          <c:xMode val="edge"/>
          <c:yMode val="edge"/>
          <c:x val="0.27041226317182832"/>
          <c:y val="3.0865804153901975E-2"/>
        </c:manualLayout>
      </c:layout>
      <c:overlay val="0"/>
      <c:spPr>
        <a:noFill/>
        <a:ln>
          <a:noFill/>
        </a:ln>
        <a:effectLst/>
      </c:spPr>
      <c:txPr>
        <a:bodyPr rot="0" spcFirstLastPara="1" vertOverflow="ellipsis" vert="horz" wrap="square" anchor="ctr" anchorCtr="1"/>
        <a:lstStyle/>
        <a:p>
          <a:pPr>
            <a:defRPr sz="1500" b="1" i="1" u="sng" strike="noStrike" kern="1200" cap="none" spc="0" normalizeH="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Tables'!$H$4:$H$7</c:f>
              <c:strCache>
                <c:ptCount val="3"/>
                <c:pt idx="0">
                  <c:v>Electronics</c:v>
                </c:pt>
                <c:pt idx="1">
                  <c:v>Furniture</c:v>
                </c:pt>
                <c:pt idx="2">
                  <c:v>Office Supplies</c:v>
                </c:pt>
              </c:strCache>
            </c:strRef>
          </c:cat>
          <c:val>
            <c:numRef>
              <c:f>'Pivot Tables'!$I$4:$I$7</c:f>
              <c:numCache>
                <c:formatCode>General</c:formatCode>
                <c:ptCount val="3"/>
                <c:pt idx="0">
                  <c:v>78000</c:v>
                </c:pt>
                <c:pt idx="1">
                  <c:v>39300</c:v>
                </c:pt>
                <c:pt idx="2">
                  <c:v>21100</c:v>
                </c:pt>
              </c:numCache>
            </c:numRef>
          </c:val>
          <c:extLst>
            <c:ext xmlns:c16="http://schemas.microsoft.com/office/drawing/2014/chart" uri="{C3380CC4-5D6E-409C-BE32-E72D297353CC}">
              <c16:uniqueId val="{00000000-4AD9-4EF1-ACAC-30162E65E62F}"/>
            </c:ext>
          </c:extLst>
        </c:ser>
        <c:dLbls>
          <c:dLblPos val="outEnd"/>
          <c:showLegendKey val="0"/>
          <c:showVal val="1"/>
          <c:showCatName val="0"/>
          <c:showSerName val="0"/>
          <c:showPercent val="0"/>
          <c:showBubbleSize val="0"/>
        </c:dLbls>
        <c:gapWidth val="269"/>
        <c:overlap val="-20"/>
        <c:axId val="2078717551"/>
        <c:axId val="2078720911"/>
      </c:barChart>
      <c:catAx>
        <c:axId val="207871755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78720911"/>
        <c:crosses val="autoZero"/>
        <c:auto val="1"/>
        <c:lblAlgn val="ctr"/>
        <c:lblOffset val="100"/>
        <c:noMultiLvlLbl val="0"/>
      </c:catAx>
      <c:valAx>
        <c:axId val="20787209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78717551"/>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Sales Performance Dashboard.xlsx]Pivot Tables!PivotTable6</c:name>
    <c:fmtId val="48"/>
  </c:pivotSource>
  <c:chart>
    <c:title>
      <c:tx>
        <c:rich>
          <a:bodyPr rot="0" spcFirstLastPara="1" vertOverflow="ellipsis" vert="horz" wrap="square" anchor="ctr" anchorCtr="1"/>
          <a:lstStyle/>
          <a:p>
            <a:pPr>
              <a:defRPr sz="1600" b="1" i="1" u="sng"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r>
              <a:rPr lang="en-IN" b="1" i="1" u="sng">
                <a:latin typeface="Arial Black" panose="020B0A04020102020204" pitchFamily="34" charset="0"/>
              </a:rPr>
              <a:t> Top 5 Products</a:t>
            </a:r>
          </a:p>
        </c:rich>
      </c:tx>
      <c:layout>
        <c:manualLayout>
          <c:xMode val="edge"/>
          <c:yMode val="edge"/>
          <c:x val="0.29499229082988593"/>
          <c:y val="2.4464113028321743E-2"/>
        </c:manualLayout>
      </c:layout>
      <c:overlay val="0"/>
      <c:spPr>
        <a:noFill/>
        <a:ln>
          <a:noFill/>
        </a:ln>
        <a:effectLst/>
      </c:spPr>
      <c:txPr>
        <a:bodyPr rot="0" spcFirstLastPara="1" vertOverflow="ellipsis" vert="horz" wrap="square" anchor="ctr" anchorCtr="1"/>
        <a:lstStyle/>
        <a:p>
          <a:pPr>
            <a:defRPr sz="1600" b="1" i="1" u="sng"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FA0-4881-A0E0-E18B042594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FA0-4881-A0E0-E18B042594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FA0-4881-A0E0-E18B042594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FA0-4881-A0E0-E18B042594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FA0-4881-A0E0-E18B04259434}"/>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Bed</c:v>
                </c:pt>
                <c:pt idx="1">
                  <c:v>Camera</c:v>
                </c:pt>
                <c:pt idx="2">
                  <c:v>Laptop</c:v>
                </c:pt>
                <c:pt idx="3">
                  <c:v>Mobile</c:v>
                </c:pt>
                <c:pt idx="4">
                  <c:v>Monitor</c:v>
                </c:pt>
              </c:strCache>
            </c:strRef>
          </c:cat>
          <c:val>
            <c:numRef>
              <c:f>'Pivot Tables'!$L$4:$L$9</c:f>
              <c:numCache>
                <c:formatCode>General</c:formatCode>
                <c:ptCount val="5"/>
                <c:pt idx="0">
                  <c:v>55000</c:v>
                </c:pt>
                <c:pt idx="1">
                  <c:v>70000</c:v>
                </c:pt>
                <c:pt idx="2">
                  <c:v>110000</c:v>
                </c:pt>
                <c:pt idx="3">
                  <c:v>88000</c:v>
                </c:pt>
                <c:pt idx="4">
                  <c:v>60000</c:v>
                </c:pt>
              </c:numCache>
            </c:numRef>
          </c:val>
          <c:extLst>
            <c:ext xmlns:c16="http://schemas.microsoft.com/office/drawing/2014/chart" uri="{C3380CC4-5D6E-409C-BE32-E72D297353CC}">
              <c16:uniqueId val="{0000000A-EFA0-4881-A0E0-E18B04259434}"/>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461962</xdr:colOff>
      <xdr:row>31</xdr:row>
      <xdr:rowOff>147638</xdr:rowOff>
    </xdr:to>
    <xdr:sp macro="" textlink="">
      <xdr:nvSpPr>
        <xdr:cNvPr id="2" name="Rectangle: Rounded Corners 1">
          <a:extLst>
            <a:ext uri="{FF2B5EF4-FFF2-40B4-BE49-F238E27FC236}">
              <a16:creationId xmlns:a16="http://schemas.microsoft.com/office/drawing/2014/main" id="{9EFD0DD7-6B28-524A-0680-617933CA8FEC}"/>
            </a:ext>
          </a:extLst>
        </xdr:cNvPr>
        <xdr:cNvSpPr/>
      </xdr:nvSpPr>
      <xdr:spPr>
        <a:xfrm>
          <a:off x="0" y="0"/>
          <a:ext cx="14063662" cy="5757863"/>
        </a:xfrm>
        <a:prstGeom prst="round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8100000" scaled="1"/>
          <a:tileRect/>
        </a:gradFill>
        <a:ln>
          <a:solidFill>
            <a:srgbClr val="FF0000"/>
          </a:solidFill>
        </a:ln>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80963</xdr:colOff>
      <xdr:row>0</xdr:row>
      <xdr:rowOff>95250</xdr:rowOff>
    </xdr:from>
    <xdr:to>
      <xdr:col>14</xdr:col>
      <xdr:colOff>614362</xdr:colOff>
      <xdr:row>4</xdr:row>
      <xdr:rowOff>57150</xdr:rowOff>
    </xdr:to>
    <xdr:sp macro="" textlink="">
      <xdr:nvSpPr>
        <xdr:cNvPr id="4" name="Rectangle: Rounded Corners 3">
          <a:extLst>
            <a:ext uri="{FF2B5EF4-FFF2-40B4-BE49-F238E27FC236}">
              <a16:creationId xmlns:a16="http://schemas.microsoft.com/office/drawing/2014/main" id="{DC701045-1C4F-2601-07CA-0674F7A9DF2A}"/>
            </a:ext>
          </a:extLst>
        </xdr:cNvPr>
        <xdr:cNvSpPr/>
      </xdr:nvSpPr>
      <xdr:spPr>
        <a:xfrm>
          <a:off x="2671763" y="95250"/>
          <a:ext cx="7010399" cy="6858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24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Sales Performance Dashboard</a:t>
          </a:r>
        </a:p>
      </xdr:txBody>
    </xdr:sp>
    <xdr:clientData/>
  </xdr:twoCellAnchor>
  <xdr:twoCellAnchor editAs="oneCell">
    <xdr:from>
      <xdr:col>4</xdr:col>
      <xdr:colOff>585788</xdr:colOff>
      <xdr:row>0</xdr:row>
      <xdr:rowOff>138113</xdr:rowOff>
    </xdr:from>
    <xdr:to>
      <xdr:col>6</xdr:col>
      <xdr:colOff>538161</xdr:colOff>
      <xdr:row>4</xdr:row>
      <xdr:rowOff>38100</xdr:rowOff>
    </xdr:to>
    <xdr:pic>
      <xdr:nvPicPr>
        <xdr:cNvPr id="6" name="Graphic 5" descr="Bar graph with upward trend with solid fill">
          <a:extLst>
            <a:ext uri="{FF2B5EF4-FFF2-40B4-BE49-F238E27FC236}">
              <a16:creationId xmlns:a16="http://schemas.microsoft.com/office/drawing/2014/main" id="{ABC21199-C05E-F69E-16A2-809644901E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76588" y="138113"/>
          <a:ext cx="1247773" cy="623887"/>
        </a:xfrm>
        <a:prstGeom prst="rect">
          <a:avLst/>
        </a:prstGeom>
      </xdr:spPr>
    </xdr:pic>
    <xdr:clientData/>
  </xdr:twoCellAnchor>
  <xdr:twoCellAnchor>
    <xdr:from>
      <xdr:col>0</xdr:col>
      <xdr:colOff>233362</xdr:colOff>
      <xdr:row>7</xdr:row>
      <xdr:rowOff>152400</xdr:rowOff>
    </xdr:from>
    <xdr:to>
      <xdr:col>3</xdr:col>
      <xdr:colOff>433387</xdr:colOff>
      <xdr:row>30</xdr:row>
      <xdr:rowOff>57150</xdr:rowOff>
    </xdr:to>
    <xdr:sp macro="" textlink="">
      <xdr:nvSpPr>
        <xdr:cNvPr id="8" name="Rectangle: Rounded Corners 7">
          <a:extLst>
            <a:ext uri="{FF2B5EF4-FFF2-40B4-BE49-F238E27FC236}">
              <a16:creationId xmlns:a16="http://schemas.microsoft.com/office/drawing/2014/main" id="{FCE10F86-A18D-2EB6-1879-E29399818B8C}"/>
            </a:ext>
          </a:extLst>
        </xdr:cNvPr>
        <xdr:cNvSpPr/>
      </xdr:nvSpPr>
      <xdr:spPr>
        <a:xfrm>
          <a:off x="233362" y="1419225"/>
          <a:ext cx="2143125" cy="4067175"/>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481013</xdr:colOff>
      <xdr:row>5</xdr:row>
      <xdr:rowOff>147637</xdr:rowOff>
    </xdr:from>
    <xdr:to>
      <xdr:col>9</xdr:col>
      <xdr:colOff>361950</xdr:colOff>
      <xdr:row>11</xdr:row>
      <xdr:rowOff>19051</xdr:rowOff>
    </xdr:to>
    <xdr:sp macro="" textlink="">
      <xdr:nvSpPr>
        <xdr:cNvPr id="9" name="Rectangle: Rounded Corners 8">
          <a:extLst>
            <a:ext uri="{FF2B5EF4-FFF2-40B4-BE49-F238E27FC236}">
              <a16:creationId xmlns:a16="http://schemas.microsoft.com/office/drawing/2014/main" id="{81A564FC-5131-4943-865E-0A26C37C9A90}"/>
            </a:ext>
          </a:extLst>
        </xdr:cNvPr>
        <xdr:cNvSpPr/>
      </xdr:nvSpPr>
      <xdr:spPr>
        <a:xfrm>
          <a:off x="4367213" y="1052512"/>
          <a:ext cx="1824037" cy="957264"/>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433392</xdr:colOff>
      <xdr:row>5</xdr:row>
      <xdr:rowOff>123825</xdr:rowOff>
    </xdr:from>
    <xdr:to>
      <xdr:col>12</xdr:col>
      <xdr:colOff>66675</xdr:colOff>
      <xdr:row>11</xdr:row>
      <xdr:rowOff>9524</xdr:rowOff>
    </xdr:to>
    <xdr:sp macro="" textlink="">
      <xdr:nvSpPr>
        <xdr:cNvPr id="10" name="Rectangle: Rounded Corners 9">
          <a:extLst>
            <a:ext uri="{FF2B5EF4-FFF2-40B4-BE49-F238E27FC236}">
              <a16:creationId xmlns:a16="http://schemas.microsoft.com/office/drawing/2014/main" id="{CEFF2846-C73A-485B-942F-3D2B6CF38F26}"/>
            </a:ext>
          </a:extLst>
        </xdr:cNvPr>
        <xdr:cNvSpPr/>
      </xdr:nvSpPr>
      <xdr:spPr>
        <a:xfrm>
          <a:off x="6262692" y="1028700"/>
          <a:ext cx="1576383" cy="971549"/>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461964</xdr:colOff>
      <xdr:row>12</xdr:row>
      <xdr:rowOff>9524</xdr:rowOff>
    </xdr:from>
    <xdr:to>
      <xdr:col>9</xdr:col>
      <xdr:colOff>42863</xdr:colOff>
      <xdr:row>29</xdr:row>
      <xdr:rowOff>166687</xdr:rowOff>
    </xdr:to>
    <xdr:sp macro="" textlink="">
      <xdr:nvSpPr>
        <xdr:cNvPr id="12" name="Rectangle: Rounded Corners 11">
          <a:extLst>
            <a:ext uri="{FF2B5EF4-FFF2-40B4-BE49-F238E27FC236}">
              <a16:creationId xmlns:a16="http://schemas.microsoft.com/office/drawing/2014/main" id="{49D14039-21B2-4EF3-8464-734BC4B555AE}"/>
            </a:ext>
          </a:extLst>
        </xdr:cNvPr>
        <xdr:cNvSpPr/>
      </xdr:nvSpPr>
      <xdr:spPr>
        <a:xfrm>
          <a:off x="2405064" y="2181224"/>
          <a:ext cx="3467099" cy="3233738"/>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104776</xdr:colOff>
      <xdr:row>12</xdr:row>
      <xdr:rowOff>71438</xdr:rowOff>
    </xdr:from>
    <xdr:to>
      <xdr:col>14</xdr:col>
      <xdr:colOff>542926</xdr:colOff>
      <xdr:row>29</xdr:row>
      <xdr:rowOff>123826</xdr:rowOff>
    </xdr:to>
    <xdr:sp macro="" textlink="">
      <xdr:nvSpPr>
        <xdr:cNvPr id="13" name="Rectangle: Rounded Corners 12">
          <a:extLst>
            <a:ext uri="{FF2B5EF4-FFF2-40B4-BE49-F238E27FC236}">
              <a16:creationId xmlns:a16="http://schemas.microsoft.com/office/drawing/2014/main" id="{0D0D1B24-5271-4DC8-8457-7F8E43A5DC0A}"/>
            </a:ext>
          </a:extLst>
        </xdr:cNvPr>
        <xdr:cNvSpPr/>
      </xdr:nvSpPr>
      <xdr:spPr>
        <a:xfrm>
          <a:off x="5934076" y="2243138"/>
          <a:ext cx="3676650" cy="3128963"/>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104776</xdr:colOff>
      <xdr:row>1</xdr:row>
      <xdr:rowOff>9525</xdr:rowOff>
    </xdr:from>
    <xdr:to>
      <xdr:col>20</xdr:col>
      <xdr:colOff>519114</xdr:colOff>
      <xdr:row>12</xdr:row>
      <xdr:rowOff>23814</xdr:rowOff>
    </xdr:to>
    <xdr:sp macro="" textlink="">
      <xdr:nvSpPr>
        <xdr:cNvPr id="14" name="Rectangle: Rounded Corners 13">
          <a:extLst>
            <a:ext uri="{FF2B5EF4-FFF2-40B4-BE49-F238E27FC236}">
              <a16:creationId xmlns:a16="http://schemas.microsoft.com/office/drawing/2014/main" id="{770D0B36-97CB-4F22-B85C-F72CE0ADFA31}"/>
            </a:ext>
          </a:extLst>
        </xdr:cNvPr>
        <xdr:cNvSpPr/>
      </xdr:nvSpPr>
      <xdr:spPr>
        <a:xfrm>
          <a:off x="9820276" y="190500"/>
          <a:ext cx="3652838" cy="2005014"/>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19049</xdr:colOff>
      <xdr:row>12</xdr:row>
      <xdr:rowOff>138114</xdr:rowOff>
    </xdr:from>
    <xdr:to>
      <xdr:col>20</xdr:col>
      <xdr:colOff>309562</xdr:colOff>
      <xdr:row>29</xdr:row>
      <xdr:rowOff>123827</xdr:rowOff>
    </xdr:to>
    <xdr:sp macro="" textlink="">
      <xdr:nvSpPr>
        <xdr:cNvPr id="15" name="Rectangle: Rounded Corners 14">
          <a:extLst>
            <a:ext uri="{FF2B5EF4-FFF2-40B4-BE49-F238E27FC236}">
              <a16:creationId xmlns:a16="http://schemas.microsoft.com/office/drawing/2014/main" id="{88728546-D355-4504-9D5A-DA5F042F6989}"/>
            </a:ext>
          </a:extLst>
        </xdr:cNvPr>
        <xdr:cNvSpPr/>
      </xdr:nvSpPr>
      <xdr:spPr>
        <a:xfrm>
          <a:off x="9734549" y="2309814"/>
          <a:ext cx="3529013" cy="3062288"/>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247650</xdr:colOff>
      <xdr:row>5</xdr:row>
      <xdr:rowOff>123826</xdr:rowOff>
    </xdr:from>
    <xdr:to>
      <xdr:col>6</xdr:col>
      <xdr:colOff>404813</xdr:colOff>
      <xdr:row>7</xdr:row>
      <xdr:rowOff>104775</xdr:rowOff>
    </xdr:to>
    <xdr:sp macro="" textlink="">
      <xdr:nvSpPr>
        <xdr:cNvPr id="19" name="Rectangle 18">
          <a:extLst>
            <a:ext uri="{FF2B5EF4-FFF2-40B4-BE49-F238E27FC236}">
              <a16:creationId xmlns:a16="http://schemas.microsoft.com/office/drawing/2014/main" id="{5BA78421-B4A4-6F0C-98AC-EE0FB383BFD8}"/>
            </a:ext>
          </a:extLst>
        </xdr:cNvPr>
        <xdr:cNvSpPr/>
      </xdr:nvSpPr>
      <xdr:spPr>
        <a:xfrm>
          <a:off x="2838450" y="1028701"/>
          <a:ext cx="1452563" cy="3428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i="1" u="sng">
            <a:solidFill>
              <a:sysClr val="windowText" lastClr="000000"/>
            </a:solidFill>
            <a:latin typeface="Arial Black" panose="020B0A04020102020204" pitchFamily="34" charset="0"/>
          </a:endParaRPr>
        </a:p>
      </xdr:txBody>
    </xdr:sp>
    <xdr:clientData/>
  </xdr:twoCellAnchor>
  <xdr:twoCellAnchor>
    <xdr:from>
      <xdr:col>3</xdr:col>
      <xdr:colOff>495301</xdr:colOff>
      <xdr:row>5</xdr:row>
      <xdr:rowOff>90488</xdr:rowOff>
    </xdr:from>
    <xdr:to>
      <xdr:col>6</xdr:col>
      <xdr:colOff>400052</xdr:colOff>
      <xdr:row>10</xdr:row>
      <xdr:rowOff>166689</xdr:rowOff>
    </xdr:to>
    <xdr:sp macro="" textlink="">
      <xdr:nvSpPr>
        <xdr:cNvPr id="21" name="Rectangle: Rounded Corners 20">
          <a:extLst>
            <a:ext uri="{FF2B5EF4-FFF2-40B4-BE49-F238E27FC236}">
              <a16:creationId xmlns:a16="http://schemas.microsoft.com/office/drawing/2014/main" id="{7A9DE2D2-C163-47C6-831D-E82FC261DF40}"/>
            </a:ext>
          </a:extLst>
        </xdr:cNvPr>
        <xdr:cNvSpPr/>
      </xdr:nvSpPr>
      <xdr:spPr>
        <a:xfrm>
          <a:off x="2438401" y="995363"/>
          <a:ext cx="1847851" cy="981076"/>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608647</xdr:colOff>
      <xdr:row>7</xdr:row>
      <xdr:rowOff>80961</xdr:rowOff>
    </xdr:from>
    <xdr:to>
      <xdr:col>4</xdr:col>
      <xdr:colOff>595313</xdr:colOff>
      <xdr:row>10</xdr:row>
      <xdr:rowOff>109537</xdr:rowOff>
    </xdr:to>
    <xdr:sp macro="" textlink="">
      <xdr:nvSpPr>
        <xdr:cNvPr id="26" name="Graphic 24" descr="Coins with solid fill">
          <a:extLst>
            <a:ext uri="{FF2B5EF4-FFF2-40B4-BE49-F238E27FC236}">
              <a16:creationId xmlns:a16="http://schemas.microsoft.com/office/drawing/2014/main" id="{ABDB091B-5DE7-53B3-1529-0738D8AFA64F}"/>
            </a:ext>
          </a:extLst>
        </xdr:cNvPr>
        <xdr:cNvSpPr/>
      </xdr:nvSpPr>
      <xdr:spPr>
        <a:xfrm>
          <a:off x="2551747" y="1347786"/>
          <a:ext cx="634366" cy="571501"/>
        </a:xfrm>
        <a:custGeom>
          <a:avLst/>
          <a:gdLst>
            <a:gd name="csX0" fmla="*/ 743903 w 800151"/>
            <a:gd name="csY0" fmla="*/ 571500 h 685800"/>
            <a:gd name="csX1" fmla="*/ 705803 w 800151"/>
            <a:gd name="csY1" fmla="*/ 603885 h 685800"/>
            <a:gd name="csX2" fmla="*/ 705803 w 800151"/>
            <a:gd name="csY2" fmla="*/ 569595 h 685800"/>
            <a:gd name="csX3" fmla="*/ 743903 w 800151"/>
            <a:gd name="csY3" fmla="*/ 554355 h 685800"/>
            <a:gd name="csX4" fmla="*/ 743903 w 800151"/>
            <a:gd name="csY4" fmla="*/ 571500 h 685800"/>
            <a:gd name="csX5" fmla="*/ 667703 w 800151"/>
            <a:gd name="csY5" fmla="*/ 508635 h 685800"/>
            <a:gd name="csX6" fmla="*/ 667703 w 800151"/>
            <a:gd name="csY6" fmla="*/ 474345 h 685800"/>
            <a:gd name="csX7" fmla="*/ 705803 w 800151"/>
            <a:gd name="csY7" fmla="*/ 459105 h 685800"/>
            <a:gd name="csX8" fmla="*/ 705803 w 800151"/>
            <a:gd name="csY8" fmla="*/ 476250 h 685800"/>
            <a:gd name="csX9" fmla="*/ 667703 w 800151"/>
            <a:gd name="csY9" fmla="*/ 508635 h 685800"/>
            <a:gd name="csX10" fmla="*/ 667703 w 800151"/>
            <a:gd name="csY10" fmla="*/ 615315 h 685800"/>
            <a:gd name="csX11" fmla="*/ 629603 w 800151"/>
            <a:gd name="csY11" fmla="*/ 621983 h 685800"/>
            <a:gd name="csX12" fmla="*/ 629603 w 800151"/>
            <a:gd name="csY12" fmla="*/ 584835 h 685800"/>
            <a:gd name="csX13" fmla="*/ 667703 w 800151"/>
            <a:gd name="csY13" fmla="*/ 579120 h 685800"/>
            <a:gd name="csX14" fmla="*/ 667703 w 800151"/>
            <a:gd name="csY14" fmla="*/ 615315 h 685800"/>
            <a:gd name="csX15" fmla="*/ 591503 w 800151"/>
            <a:gd name="csY15" fmla="*/ 489585 h 685800"/>
            <a:gd name="csX16" fmla="*/ 629603 w 800151"/>
            <a:gd name="csY16" fmla="*/ 483870 h 685800"/>
            <a:gd name="csX17" fmla="*/ 629603 w 800151"/>
            <a:gd name="csY17" fmla="*/ 520065 h 685800"/>
            <a:gd name="csX18" fmla="*/ 591503 w 800151"/>
            <a:gd name="csY18" fmla="*/ 526733 h 685800"/>
            <a:gd name="csX19" fmla="*/ 591503 w 800151"/>
            <a:gd name="csY19" fmla="*/ 489585 h 685800"/>
            <a:gd name="csX20" fmla="*/ 591503 w 800151"/>
            <a:gd name="csY20" fmla="*/ 626745 h 685800"/>
            <a:gd name="csX21" fmla="*/ 553403 w 800151"/>
            <a:gd name="csY21" fmla="*/ 628650 h 685800"/>
            <a:gd name="csX22" fmla="*/ 553403 w 800151"/>
            <a:gd name="csY22" fmla="*/ 590550 h 685800"/>
            <a:gd name="csX23" fmla="*/ 591503 w 800151"/>
            <a:gd name="csY23" fmla="*/ 588645 h 685800"/>
            <a:gd name="csX24" fmla="*/ 591503 w 800151"/>
            <a:gd name="csY24" fmla="*/ 626745 h 685800"/>
            <a:gd name="csX25" fmla="*/ 515303 w 800151"/>
            <a:gd name="csY25" fmla="*/ 533400 h 685800"/>
            <a:gd name="csX26" fmla="*/ 515303 w 800151"/>
            <a:gd name="csY26" fmla="*/ 495300 h 685800"/>
            <a:gd name="csX27" fmla="*/ 553403 w 800151"/>
            <a:gd name="csY27" fmla="*/ 493395 h 685800"/>
            <a:gd name="csX28" fmla="*/ 553403 w 800151"/>
            <a:gd name="csY28" fmla="*/ 531495 h 685800"/>
            <a:gd name="csX29" fmla="*/ 515303 w 800151"/>
            <a:gd name="csY29" fmla="*/ 533400 h 685800"/>
            <a:gd name="csX30" fmla="*/ 515303 w 800151"/>
            <a:gd name="csY30" fmla="*/ 628650 h 685800"/>
            <a:gd name="csX31" fmla="*/ 477203 w 800151"/>
            <a:gd name="csY31" fmla="*/ 626745 h 685800"/>
            <a:gd name="csX32" fmla="*/ 477203 w 800151"/>
            <a:gd name="csY32" fmla="*/ 590550 h 685800"/>
            <a:gd name="csX33" fmla="*/ 496253 w 800151"/>
            <a:gd name="csY33" fmla="*/ 590550 h 685800"/>
            <a:gd name="csX34" fmla="*/ 515303 w 800151"/>
            <a:gd name="csY34" fmla="*/ 590550 h 685800"/>
            <a:gd name="csX35" fmla="*/ 515303 w 800151"/>
            <a:gd name="csY35" fmla="*/ 628650 h 685800"/>
            <a:gd name="csX36" fmla="*/ 439103 w 800151"/>
            <a:gd name="csY36" fmla="*/ 493395 h 685800"/>
            <a:gd name="csX37" fmla="*/ 477203 w 800151"/>
            <a:gd name="csY37" fmla="*/ 495300 h 685800"/>
            <a:gd name="csX38" fmla="*/ 477203 w 800151"/>
            <a:gd name="csY38" fmla="*/ 533400 h 685800"/>
            <a:gd name="csX39" fmla="*/ 439103 w 800151"/>
            <a:gd name="csY39" fmla="*/ 531495 h 685800"/>
            <a:gd name="csX40" fmla="*/ 439103 w 800151"/>
            <a:gd name="csY40" fmla="*/ 493395 h 685800"/>
            <a:gd name="csX41" fmla="*/ 439103 w 800151"/>
            <a:gd name="csY41" fmla="*/ 621983 h 685800"/>
            <a:gd name="csX42" fmla="*/ 401003 w 800151"/>
            <a:gd name="csY42" fmla="*/ 615315 h 685800"/>
            <a:gd name="csX43" fmla="*/ 401003 w 800151"/>
            <a:gd name="csY43" fmla="*/ 584835 h 685800"/>
            <a:gd name="csX44" fmla="*/ 439103 w 800151"/>
            <a:gd name="csY44" fmla="*/ 588645 h 685800"/>
            <a:gd name="csX45" fmla="*/ 439103 w 800151"/>
            <a:gd name="csY45" fmla="*/ 621983 h 685800"/>
            <a:gd name="csX46" fmla="*/ 362903 w 800151"/>
            <a:gd name="csY46" fmla="*/ 520065 h 685800"/>
            <a:gd name="csX47" fmla="*/ 362903 w 800151"/>
            <a:gd name="csY47" fmla="*/ 482918 h 685800"/>
            <a:gd name="csX48" fmla="*/ 401003 w 800151"/>
            <a:gd name="csY48" fmla="*/ 488633 h 685800"/>
            <a:gd name="csX49" fmla="*/ 401003 w 800151"/>
            <a:gd name="csY49" fmla="*/ 526733 h 685800"/>
            <a:gd name="csX50" fmla="*/ 362903 w 800151"/>
            <a:gd name="csY50" fmla="*/ 520065 h 685800"/>
            <a:gd name="csX51" fmla="*/ 362903 w 800151"/>
            <a:gd name="csY51" fmla="*/ 603885 h 685800"/>
            <a:gd name="csX52" fmla="*/ 324803 w 800151"/>
            <a:gd name="csY52" fmla="*/ 571500 h 685800"/>
            <a:gd name="csX53" fmla="*/ 324803 w 800151"/>
            <a:gd name="csY53" fmla="*/ 569595 h 685800"/>
            <a:gd name="csX54" fmla="*/ 325755 w 800151"/>
            <a:gd name="csY54" fmla="*/ 569595 h 685800"/>
            <a:gd name="csX55" fmla="*/ 333375 w 800151"/>
            <a:gd name="csY55" fmla="*/ 571500 h 685800"/>
            <a:gd name="csX56" fmla="*/ 362903 w 800151"/>
            <a:gd name="csY56" fmla="*/ 578168 h 685800"/>
            <a:gd name="csX57" fmla="*/ 362903 w 800151"/>
            <a:gd name="csY57" fmla="*/ 603885 h 685800"/>
            <a:gd name="csX58" fmla="*/ 210503 w 800151"/>
            <a:gd name="csY58" fmla="*/ 474345 h 685800"/>
            <a:gd name="csX59" fmla="*/ 229553 w 800151"/>
            <a:gd name="csY59" fmla="*/ 475298 h 685800"/>
            <a:gd name="csX60" fmla="*/ 229553 w 800151"/>
            <a:gd name="csY60" fmla="*/ 476250 h 685800"/>
            <a:gd name="csX61" fmla="*/ 239078 w 800151"/>
            <a:gd name="csY61" fmla="*/ 513398 h 685800"/>
            <a:gd name="csX62" fmla="*/ 210503 w 800151"/>
            <a:gd name="csY62" fmla="*/ 511492 h 685800"/>
            <a:gd name="csX63" fmla="*/ 210503 w 800151"/>
            <a:gd name="csY63" fmla="*/ 474345 h 685800"/>
            <a:gd name="csX64" fmla="*/ 172403 w 800151"/>
            <a:gd name="csY64" fmla="*/ 360045 h 685800"/>
            <a:gd name="csX65" fmla="*/ 210503 w 800151"/>
            <a:gd name="csY65" fmla="*/ 365760 h 685800"/>
            <a:gd name="csX66" fmla="*/ 210503 w 800151"/>
            <a:gd name="csY66" fmla="*/ 403860 h 685800"/>
            <a:gd name="csX67" fmla="*/ 172403 w 800151"/>
            <a:gd name="csY67" fmla="*/ 397193 h 685800"/>
            <a:gd name="csX68" fmla="*/ 172403 w 800151"/>
            <a:gd name="csY68" fmla="*/ 360045 h 685800"/>
            <a:gd name="csX69" fmla="*/ 172403 w 800151"/>
            <a:gd name="csY69" fmla="*/ 507683 h 685800"/>
            <a:gd name="csX70" fmla="*/ 134303 w 800151"/>
            <a:gd name="csY70" fmla="*/ 501015 h 685800"/>
            <a:gd name="csX71" fmla="*/ 134303 w 800151"/>
            <a:gd name="csY71" fmla="*/ 463868 h 685800"/>
            <a:gd name="csX72" fmla="*/ 172403 w 800151"/>
            <a:gd name="csY72" fmla="*/ 469583 h 685800"/>
            <a:gd name="csX73" fmla="*/ 172403 w 800151"/>
            <a:gd name="csY73" fmla="*/ 507683 h 685800"/>
            <a:gd name="csX74" fmla="*/ 96203 w 800151"/>
            <a:gd name="csY74" fmla="*/ 352425 h 685800"/>
            <a:gd name="csX75" fmla="*/ 96203 w 800151"/>
            <a:gd name="csY75" fmla="*/ 335280 h 685800"/>
            <a:gd name="csX76" fmla="*/ 134303 w 800151"/>
            <a:gd name="csY76" fmla="*/ 349568 h 685800"/>
            <a:gd name="csX77" fmla="*/ 134303 w 800151"/>
            <a:gd name="csY77" fmla="*/ 384810 h 685800"/>
            <a:gd name="csX78" fmla="*/ 96203 w 800151"/>
            <a:gd name="csY78" fmla="*/ 352425 h 685800"/>
            <a:gd name="csX79" fmla="*/ 96203 w 800151"/>
            <a:gd name="csY79" fmla="*/ 489585 h 685800"/>
            <a:gd name="csX80" fmla="*/ 58103 w 800151"/>
            <a:gd name="csY80" fmla="*/ 457200 h 685800"/>
            <a:gd name="csX81" fmla="*/ 58103 w 800151"/>
            <a:gd name="csY81" fmla="*/ 440055 h 685800"/>
            <a:gd name="csX82" fmla="*/ 96203 w 800151"/>
            <a:gd name="csY82" fmla="*/ 454343 h 685800"/>
            <a:gd name="csX83" fmla="*/ 96203 w 800151"/>
            <a:gd name="csY83" fmla="*/ 489585 h 685800"/>
            <a:gd name="csX84" fmla="*/ 58103 w 800151"/>
            <a:gd name="csY84" fmla="*/ 192405 h 685800"/>
            <a:gd name="csX85" fmla="*/ 96203 w 800151"/>
            <a:gd name="csY85" fmla="*/ 206693 h 685800"/>
            <a:gd name="csX86" fmla="*/ 96203 w 800151"/>
            <a:gd name="csY86" fmla="*/ 241935 h 685800"/>
            <a:gd name="csX87" fmla="*/ 58103 w 800151"/>
            <a:gd name="csY87" fmla="*/ 209550 h 685800"/>
            <a:gd name="csX88" fmla="*/ 58103 w 800151"/>
            <a:gd name="csY88" fmla="*/ 192405 h 685800"/>
            <a:gd name="csX89" fmla="*/ 172403 w 800151"/>
            <a:gd name="csY89" fmla="*/ 222885 h 685800"/>
            <a:gd name="csX90" fmla="*/ 172403 w 800151"/>
            <a:gd name="csY90" fmla="*/ 260985 h 685800"/>
            <a:gd name="csX91" fmla="*/ 134303 w 800151"/>
            <a:gd name="csY91" fmla="*/ 254318 h 685800"/>
            <a:gd name="csX92" fmla="*/ 134303 w 800151"/>
            <a:gd name="csY92" fmla="*/ 217170 h 685800"/>
            <a:gd name="csX93" fmla="*/ 172403 w 800151"/>
            <a:gd name="csY93" fmla="*/ 222885 h 685800"/>
            <a:gd name="csX94" fmla="*/ 267653 w 800151"/>
            <a:gd name="csY94" fmla="*/ 57150 h 685800"/>
            <a:gd name="csX95" fmla="*/ 477203 w 800151"/>
            <a:gd name="csY95" fmla="*/ 114300 h 685800"/>
            <a:gd name="csX96" fmla="*/ 267653 w 800151"/>
            <a:gd name="csY96" fmla="*/ 171450 h 685800"/>
            <a:gd name="csX97" fmla="*/ 58103 w 800151"/>
            <a:gd name="csY97" fmla="*/ 114300 h 685800"/>
            <a:gd name="csX98" fmla="*/ 267653 w 800151"/>
            <a:gd name="csY98" fmla="*/ 57150 h 685800"/>
            <a:gd name="csX99" fmla="*/ 324803 w 800151"/>
            <a:gd name="csY99" fmla="*/ 508635 h 685800"/>
            <a:gd name="csX100" fmla="*/ 286703 w 800151"/>
            <a:gd name="csY100" fmla="*/ 476250 h 685800"/>
            <a:gd name="csX101" fmla="*/ 286703 w 800151"/>
            <a:gd name="csY101" fmla="*/ 459105 h 685800"/>
            <a:gd name="csX102" fmla="*/ 324803 w 800151"/>
            <a:gd name="csY102" fmla="*/ 473393 h 685800"/>
            <a:gd name="csX103" fmla="*/ 324803 w 800151"/>
            <a:gd name="csY103" fmla="*/ 508635 h 685800"/>
            <a:gd name="csX104" fmla="*/ 439103 w 800151"/>
            <a:gd name="csY104" fmla="*/ 241935 h 685800"/>
            <a:gd name="csX105" fmla="*/ 439103 w 800151"/>
            <a:gd name="csY105" fmla="*/ 207645 h 685800"/>
            <a:gd name="csX106" fmla="*/ 477203 w 800151"/>
            <a:gd name="csY106" fmla="*/ 192405 h 685800"/>
            <a:gd name="csX107" fmla="*/ 477203 w 800151"/>
            <a:gd name="csY107" fmla="*/ 209550 h 685800"/>
            <a:gd name="csX108" fmla="*/ 439103 w 800151"/>
            <a:gd name="csY108" fmla="*/ 241935 h 685800"/>
            <a:gd name="csX109" fmla="*/ 362903 w 800151"/>
            <a:gd name="csY109" fmla="*/ 260033 h 685800"/>
            <a:gd name="csX110" fmla="*/ 362903 w 800151"/>
            <a:gd name="csY110" fmla="*/ 222885 h 685800"/>
            <a:gd name="csX111" fmla="*/ 401003 w 800151"/>
            <a:gd name="csY111" fmla="*/ 217170 h 685800"/>
            <a:gd name="csX112" fmla="*/ 401003 w 800151"/>
            <a:gd name="csY112" fmla="*/ 253365 h 685800"/>
            <a:gd name="csX113" fmla="*/ 362903 w 800151"/>
            <a:gd name="csY113" fmla="*/ 260033 h 685800"/>
            <a:gd name="csX114" fmla="*/ 286703 w 800151"/>
            <a:gd name="csY114" fmla="*/ 266700 h 685800"/>
            <a:gd name="csX115" fmla="*/ 286703 w 800151"/>
            <a:gd name="csY115" fmla="*/ 228600 h 685800"/>
            <a:gd name="csX116" fmla="*/ 324803 w 800151"/>
            <a:gd name="csY116" fmla="*/ 226695 h 685800"/>
            <a:gd name="csX117" fmla="*/ 324803 w 800151"/>
            <a:gd name="csY117" fmla="*/ 264795 h 685800"/>
            <a:gd name="csX118" fmla="*/ 286703 w 800151"/>
            <a:gd name="csY118" fmla="*/ 266700 h 685800"/>
            <a:gd name="csX119" fmla="*/ 210503 w 800151"/>
            <a:gd name="csY119" fmla="*/ 264795 h 685800"/>
            <a:gd name="csX120" fmla="*/ 210503 w 800151"/>
            <a:gd name="csY120" fmla="*/ 226695 h 685800"/>
            <a:gd name="csX121" fmla="*/ 248603 w 800151"/>
            <a:gd name="csY121" fmla="*/ 228600 h 685800"/>
            <a:gd name="csX122" fmla="*/ 248603 w 800151"/>
            <a:gd name="csY122" fmla="*/ 266700 h 685800"/>
            <a:gd name="csX123" fmla="*/ 210503 w 800151"/>
            <a:gd name="csY123" fmla="*/ 264795 h 685800"/>
            <a:gd name="csX124" fmla="*/ 705803 w 800151"/>
            <a:gd name="csY124" fmla="*/ 381000 h 685800"/>
            <a:gd name="csX125" fmla="*/ 496253 w 800151"/>
            <a:gd name="csY125" fmla="*/ 438150 h 685800"/>
            <a:gd name="csX126" fmla="*/ 286703 w 800151"/>
            <a:gd name="csY126" fmla="*/ 381000 h 685800"/>
            <a:gd name="csX127" fmla="*/ 496253 w 800151"/>
            <a:gd name="csY127" fmla="*/ 323850 h 685800"/>
            <a:gd name="csX128" fmla="*/ 705803 w 800151"/>
            <a:gd name="csY128" fmla="*/ 381000 h 685800"/>
            <a:gd name="csX129" fmla="*/ 762953 w 800151"/>
            <a:gd name="csY129" fmla="*/ 409575 h 685800"/>
            <a:gd name="csX130" fmla="*/ 762953 w 800151"/>
            <a:gd name="csY130" fmla="*/ 381000 h 685800"/>
            <a:gd name="csX131" fmla="*/ 659130 w 800151"/>
            <a:gd name="csY131" fmla="*/ 285750 h 685800"/>
            <a:gd name="csX132" fmla="*/ 570548 w 800151"/>
            <a:gd name="csY132" fmla="*/ 270510 h 685800"/>
            <a:gd name="csX133" fmla="*/ 571500 w 800151"/>
            <a:gd name="csY133" fmla="*/ 257175 h 685800"/>
            <a:gd name="csX134" fmla="*/ 533400 w 800151"/>
            <a:gd name="csY134" fmla="*/ 190500 h 685800"/>
            <a:gd name="csX135" fmla="*/ 533400 w 800151"/>
            <a:gd name="csY135" fmla="*/ 114300 h 685800"/>
            <a:gd name="csX136" fmla="*/ 429578 w 800151"/>
            <a:gd name="csY136" fmla="*/ 19050 h 685800"/>
            <a:gd name="csX137" fmla="*/ 266700 w 800151"/>
            <a:gd name="csY137" fmla="*/ 0 h 685800"/>
            <a:gd name="csX138" fmla="*/ 0 w 800151"/>
            <a:gd name="csY138" fmla="*/ 114300 h 685800"/>
            <a:gd name="csX139" fmla="*/ 0 w 800151"/>
            <a:gd name="csY139" fmla="*/ 209550 h 685800"/>
            <a:gd name="csX140" fmla="*/ 38100 w 800151"/>
            <a:gd name="csY140" fmla="*/ 276225 h 685800"/>
            <a:gd name="csX141" fmla="*/ 38100 w 800151"/>
            <a:gd name="csY141" fmla="*/ 294323 h 685800"/>
            <a:gd name="csX142" fmla="*/ 0 w 800151"/>
            <a:gd name="csY142" fmla="*/ 361950 h 685800"/>
            <a:gd name="csX143" fmla="*/ 0 w 800151"/>
            <a:gd name="csY143" fmla="*/ 457200 h 685800"/>
            <a:gd name="csX144" fmla="*/ 103822 w 800151"/>
            <a:gd name="csY144" fmla="*/ 552450 h 685800"/>
            <a:gd name="csX145" fmla="*/ 266700 w 800151"/>
            <a:gd name="csY145" fmla="*/ 571500 h 685800"/>
            <a:gd name="csX146" fmla="*/ 370523 w 800151"/>
            <a:gd name="csY146" fmla="*/ 666750 h 685800"/>
            <a:gd name="csX147" fmla="*/ 533400 w 800151"/>
            <a:gd name="csY147" fmla="*/ 685800 h 685800"/>
            <a:gd name="csX148" fmla="*/ 800100 w 800151"/>
            <a:gd name="csY148" fmla="*/ 571500 h 685800"/>
            <a:gd name="csX149" fmla="*/ 800100 w 800151"/>
            <a:gd name="csY149" fmla="*/ 476250 h 685800"/>
            <a:gd name="csX150" fmla="*/ 762953 w 800151"/>
            <a:gd name="csY150" fmla="*/ 409575 h 6858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800151" h="685800">
              <a:moveTo>
                <a:pt x="743903" y="571500"/>
              </a:moveTo>
              <a:cubicBezTo>
                <a:pt x="743903" y="583883"/>
                <a:pt x="729615" y="595313"/>
                <a:pt x="705803" y="603885"/>
              </a:cubicBezTo>
              <a:lnTo>
                <a:pt x="705803" y="569595"/>
              </a:lnTo>
              <a:cubicBezTo>
                <a:pt x="719138" y="565785"/>
                <a:pt x="732473" y="560070"/>
                <a:pt x="743903" y="554355"/>
              </a:cubicBezTo>
              <a:lnTo>
                <a:pt x="743903" y="571500"/>
              </a:lnTo>
              <a:close/>
              <a:moveTo>
                <a:pt x="667703" y="508635"/>
              </a:moveTo>
              <a:lnTo>
                <a:pt x="667703" y="474345"/>
              </a:lnTo>
              <a:cubicBezTo>
                <a:pt x="681038" y="470535"/>
                <a:pt x="694373" y="464820"/>
                <a:pt x="705803" y="459105"/>
              </a:cubicBezTo>
              <a:lnTo>
                <a:pt x="705803" y="476250"/>
              </a:lnTo>
              <a:cubicBezTo>
                <a:pt x="705803" y="488633"/>
                <a:pt x="691515" y="500063"/>
                <a:pt x="667703" y="508635"/>
              </a:cubicBezTo>
              <a:close/>
              <a:moveTo>
                <a:pt x="667703" y="615315"/>
              </a:moveTo>
              <a:cubicBezTo>
                <a:pt x="656273" y="618173"/>
                <a:pt x="642938" y="620078"/>
                <a:pt x="629603" y="621983"/>
              </a:cubicBezTo>
              <a:lnTo>
                <a:pt x="629603" y="584835"/>
              </a:lnTo>
              <a:cubicBezTo>
                <a:pt x="641985" y="582930"/>
                <a:pt x="655320" y="581025"/>
                <a:pt x="667703" y="579120"/>
              </a:cubicBezTo>
              <a:lnTo>
                <a:pt x="667703" y="615315"/>
              </a:lnTo>
              <a:close/>
              <a:moveTo>
                <a:pt x="591503" y="489585"/>
              </a:moveTo>
              <a:cubicBezTo>
                <a:pt x="603885" y="487680"/>
                <a:pt x="617220" y="485775"/>
                <a:pt x="629603" y="483870"/>
              </a:cubicBezTo>
              <a:lnTo>
                <a:pt x="629603" y="520065"/>
              </a:lnTo>
              <a:cubicBezTo>
                <a:pt x="618173" y="522923"/>
                <a:pt x="604838" y="524828"/>
                <a:pt x="591503" y="526733"/>
              </a:cubicBezTo>
              <a:lnTo>
                <a:pt x="591503" y="489585"/>
              </a:lnTo>
              <a:close/>
              <a:moveTo>
                <a:pt x="591503" y="626745"/>
              </a:moveTo>
              <a:cubicBezTo>
                <a:pt x="579120" y="627698"/>
                <a:pt x="566738" y="628650"/>
                <a:pt x="553403" y="628650"/>
              </a:cubicBezTo>
              <a:lnTo>
                <a:pt x="553403" y="590550"/>
              </a:lnTo>
              <a:cubicBezTo>
                <a:pt x="564833" y="590550"/>
                <a:pt x="578168" y="589598"/>
                <a:pt x="591503" y="588645"/>
              </a:cubicBezTo>
              <a:lnTo>
                <a:pt x="591503" y="626745"/>
              </a:lnTo>
              <a:close/>
              <a:moveTo>
                <a:pt x="515303" y="533400"/>
              </a:moveTo>
              <a:lnTo>
                <a:pt x="515303" y="495300"/>
              </a:lnTo>
              <a:cubicBezTo>
                <a:pt x="526733" y="495300"/>
                <a:pt x="540068" y="494348"/>
                <a:pt x="553403" y="493395"/>
              </a:cubicBezTo>
              <a:lnTo>
                <a:pt x="553403" y="531495"/>
              </a:lnTo>
              <a:cubicBezTo>
                <a:pt x="541020" y="532448"/>
                <a:pt x="528638" y="532448"/>
                <a:pt x="515303" y="533400"/>
              </a:cubicBezTo>
              <a:close/>
              <a:moveTo>
                <a:pt x="515303" y="628650"/>
              </a:moveTo>
              <a:cubicBezTo>
                <a:pt x="501968" y="628650"/>
                <a:pt x="489585" y="627698"/>
                <a:pt x="477203" y="626745"/>
              </a:cubicBezTo>
              <a:lnTo>
                <a:pt x="477203" y="590550"/>
              </a:lnTo>
              <a:cubicBezTo>
                <a:pt x="483870" y="590550"/>
                <a:pt x="489585" y="590550"/>
                <a:pt x="496253" y="590550"/>
              </a:cubicBezTo>
              <a:cubicBezTo>
                <a:pt x="501968" y="590550"/>
                <a:pt x="508635" y="590550"/>
                <a:pt x="515303" y="590550"/>
              </a:cubicBezTo>
              <a:lnTo>
                <a:pt x="515303" y="628650"/>
              </a:lnTo>
              <a:close/>
              <a:moveTo>
                <a:pt x="439103" y="493395"/>
              </a:moveTo>
              <a:cubicBezTo>
                <a:pt x="451485" y="494348"/>
                <a:pt x="463868" y="495300"/>
                <a:pt x="477203" y="495300"/>
              </a:cubicBezTo>
              <a:lnTo>
                <a:pt x="477203" y="533400"/>
              </a:lnTo>
              <a:cubicBezTo>
                <a:pt x="463868" y="533400"/>
                <a:pt x="451485" y="532448"/>
                <a:pt x="439103" y="531495"/>
              </a:cubicBezTo>
              <a:lnTo>
                <a:pt x="439103" y="493395"/>
              </a:lnTo>
              <a:close/>
              <a:moveTo>
                <a:pt x="439103" y="621983"/>
              </a:moveTo>
              <a:cubicBezTo>
                <a:pt x="425768" y="620078"/>
                <a:pt x="412433" y="618173"/>
                <a:pt x="401003" y="615315"/>
              </a:cubicBezTo>
              <a:lnTo>
                <a:pt x="401003" y="584835"/>
              </a:lnTo>
              <a:cubicBezTo>
                <a:pt x="413385" y="586740"/>
                <a:pt x="425768" y="587693"/>
                <a:pt x="439103" y="588645"/>
              </a:cubicBezTo>
              <a:lnTo>
                <a:pt x="439103" y="621983"/>
              </a:lnTo>
              <a:close/>
              <a:moveTo>
                <a:pt x="362903" y="520065"/>
              </a:moveTo>
              <a:lnTo>
                <a:pt x="362903" y="482918"/>
              </a:lnTo>
              <a:cubicBezTo>
                <a:pt x="375285" y="484823"/>
                <a:pt x="387668" y="487680"/>
                <a:pt x="401003" y="488633"/>
              </a:cubicBezTo>
              <a:lnTo>
                <a:pt x="401003" y="526733"/>
              </a:lnTo>
              <a:cubicBezTo>
                <a:pt x="387668" y="524828"/>
                <a:pt x="374333" y="522923"/>
                <a:pt x="362903" y="520065"/>
              </a:cubicBezTo>
              <a:close/>
              <a:moveTo>
                <a:pt x="362903" y="603885"/>
              </a:moveTo>
              <a:cubicBezTo>
                <a:pt x="339090" y="594360"/>
                <a:pt x="324803" y="582930"/>
                <a:pt x="324803" y="571500"/>
              </a:cubicBezTo>
              <a:lnTo>
                <a:pt x="324803" y="569595"/>
              </a:lnTo>
              <a:cubicBezTo>
                <a:pt x="324803" y="569595"/>
                <a:pt x="324803" y="569595"/>
                <a:pt x="325755" y="569595"/>
              </a:cubicBezTo>
              <a:cubicBezTo>
                <a:pt x="328613" y="570548"/>
                <a:pt x="330518" y="571500"/>
                <a:pt x="333375" y="571500"/>
              </a:cubicBezTo>
              <a:cubicBezTo>
                <a:pt x="342900" y="574358"/>
                <a:pt x="352425" y="576263"/>
                <a:pt x="362903" y="578168"/>
              </a:cubicBezTo>
              <a:lnTo>
                <a:pt x="362903" y="603885"/>
              </a:lnTo>
              <a:close/>
              <a:moveTo>
                <a:pt x="210503" y="474345"/>
              </a:moveTo>
              <a:cubicBezTo>
                <a:pt x="217170" y="474345"/>
                <a:pt x="222885" y="475298"/>
                <a:pt x="229553" y="475298"/>
              </a:cubicBezTo>
              <a:lnTo>
                <a:pt x="229553" y="476250"/>
              </a:lnTo>
              <a:cubicBezTo>
                <a:pt x="229553" y="489585"/>
                <a:pt x="232410" y="502920"/>
                <a:pt x="239078" y="513398"/>
              </a:cubicBezTo>
              <a:cubicBezTo>
                <a:pt x="229553" y="513398"/>
                <a:pt x="220028" y="512445"/>
                <a:pt x="210503" y="511492"/>
              </a:cubicBezTo>
              <a:lnTo>
                <a:pt x="210503" y="474345"/>
              </a:lnTo>
              <a:close/>
              <a:moveTo>
                <a:pt x="172403" y="360045"/>
              </a:moveTo>
              <a:cubicBezTo>
                <a:pt x="184785" y="361950"/>
                <a:pt x="197168" y="364808"/>
                <a:pt x="210503" y="365760"/>
              </a:cubicBezTo>
              <a:lnTo>
                <a:pt x="210503" y="403860"/>
              </a:lnTo>
              <a:cubicBezTo>
                <a:pt x="197168" y="401955"/>
                <a:pt x="183833" y="400050"/>
                <a:pt x="172403" y="397193"/>
              </a:cubicBezTo>
              <a:lnTo>
                <a:pt x="172403" y="360045"/>
              </a:lnTo>
              <a:close/>
              <a:moveTo>
                <a:pt x="172403" y="507683"/>
              </a:moveTo>
              <a:cubicBezTo>
                <a:pt x="159068" y="505778"/>
                <a:pt x="145733" y="503873"/>
                <a:pt x="134303" y="501015"/>
              </a:cubicBezTo>
              <a:lnTo>
                <a:pt x="134303" y="463868"/>
              </a:lnTo>
              <a:cubicBezTo>
                <a:pt x="146685" y="465773"/>
                <a:pt x="159068" y="468630"/>
                <a:pt x="172403" y="469583"/>
              </a:cubicBezTo>
              <a:lnTo>
                <a:pt x="172403" y="507683"/>
              </a:lnTo>
              <a:close/>
              <a:moveTo>
                <a:pt x="96203" y="352425"/>
              </a:moveTo>
              <a:lnTo>
                <a:pt x="96203" y="335280"/>
              </a:lnTo>
              <a:cubicBezTo>
                <a:pt x="107633" y="340995"/>
                <a:pt x="120015" y="345758"/>
                <a:pt x="134303" y="349568"/>
              </a:cubicBezTo>
              <a:lnTo>
                <a:pt x="134303" y="384810"/>
              </a:lnTo>
              <a:cubicBezTo>
                <a:pt x="110490" y="376238"/>
                <a:pt x="96203" y="364808"/>
                <a:pt x="96203" y="352425"/>
              </a:cubicBezTo>
              <a:close/>
              <a:moveTo>
                <a:pt x="96203" y="489585"/>
              </a:moveTo>
              <a:cubicBezTo>
                <a:pt x="72390" y="480060"/>
                <a:pt x="58103" y="468630"/>
                <a:pt x="58103" y="457200"/>
              </a:cubicBezTo>
              <a:lnTo>
                <a:pt x="58103" y="440055"/>
              </a:lnTo>
              <a:cubicBezTo>
                <a:pt x="69533" y="445770"/>
                <a:pt x="81915" y="450533"/>
                <a:pt x="96203" y="454343"/>
              </a:cubicBezTo>
              <a:lnTo>
                <a:pt x="96203" y="489585"/>
              </a:lnTo>
              <a:close/>
              <a:moveTo>
                <a:pt x="58103" y="192405"/>
              </a:moveTo>
              <a:cubicBezTo>
                <a:pt x="69533" y="198120"/>
                <a:pt x="81915" y="202883"/>
                <a:pt x="96203" y="206693"/>
              </a:cubicBezTo>
              <a:lnTo>
                <a:pt x="96203" y="241935"/>
              </a:lnTo>
              <a:cubicBezTo>
                <a:pt x="72390" y="232410"/>
                <a:pt x="58103" y="220980"/>
                <a:pt x="58103" y="209550"/>
              </a:cubicBezTo>
              <a:lnTo>
                <a:pt x="58103" y="192405"/>
              </a:lnTo>
              <a:close/>
              <a:moveTo>
                <a:pt x="172403" y="222885"/>
              </a:moveTo>
              <a:lnTo>
                <a:pt x="172403" y="260985"/>
              </a:lnTo>
              <a:cubicBezTo>
                <a:pt x="159068" y="259080"/>
                <a:pt x="145733" y="257175"/>
                <a:pt x="134303" y="254318"/>
              </a:cubicBezTo>
              <a:lnTo>
                <a:pt x="134303" y="217170"/>
              </a:lnTo>
              <a:cubicBezTo>
                <a:pt x="146685" y="219075"/>
                <a:pt x="159068" y="220980"/>
                <a:pt x="172403" y="222885"/>
              </a:cubicBezTo>
              <a:close/>
              <a:moveTo>
                <a:pt x="267653" y="57150"/>
              </a:moveTo>
              <a:cubicBezTo>
                <a:pt x="383858" y="57150"/>
                <a:pt x="477203" y="82868"/>
                <a:pt x="477203" y="114300"/>
              </a:cubicBezTo>
              <a:cubicBezTo>
                <a:pt x="477203" y="145733"/>
                <a:pt x="383858" y="171450"/>
                <a:pt x="267653" y="171450"/>
              </a:cubicBezTo>
              <a:cubicBezTo>
                <a:pt x="151447" y="171450"/>
                <a:pt x="58103" y="145733"/>
                <a:pt x="58103" y="114300"/>
              </a:cubicBezTo>
              <a:cubicBezTo>
                <a:pt x="58103" y="82868"/>
                <a:pt x="151447" y="57150"/>
                <a:pt x="267653" y="57150"/>
              </a:cubicBezTo>
              <a:close/>
              <a:moveTo>
                <a:pt x="324803" y="508635"/>
              </a:moveTo>
              <a:cubicBezTo>
                <a:pt x="300990" y="499110"/>
                <a:pt x="286703" y="487680"/>
                <a:pt x="286703" y="476250"/>
              </a:cubicBezTo>
              <a:lnTo>
                <a:pt x="286703" y="459105"/>
              </a:lnTo>
              <a:cubicBezTo>
                <a:pt x="298133" y="464820"/>
                <a:pt x="310515" y="469583"/>
                <a:pt x="324803" y="473393"/>
              </a:cubicBezTo>
              <a:lnTo>
                <a:pt x="324803" y="508635"/>
              </a:lnTo>
              <a:close/>
              <a:moveTo>
                <a:pt x="439103" y="241935"/>
              </a:moveTo>
              <a:lnTo>
                <a:pt x="439103" y="207645"/>
              </a:lnTo>
              <a:cubicBezTo>
                <a:pt x="452438" y="203835"/>
                <a:pt x="465773" y="198120"/>
                <a:pt x="477203" y="192405"/>
              </a:cubicBezTo>
              <a:lnTo>
                <a:pt x="477203" y="209550"/>
              </a:lnTo>
              <a:cubicBezTo>
                <a:pt x="477203" y="221933"/>
                <a:pt x="462915" y="233363"/>
                <a:pt x="439103" y="241935"/>
              </a:cubicBezTo>
              <a:close/>
              <a:moveTo>
                <a:pt x="362903" y="260033"/>
              </a:moveTo>
              <a:lnTo>
                <a:pt x="362903" y="222885"/>
              </a:lnTo>
              <a:cubicBezTo>
                <a:pt x="375285" y="220980"/>
                <a:pt x="388620" y="219075"/>
                <a:pt x="401003" y="217170"/>
              </a:cubicBezTo>
              <a:lnTo>
                <a:pt x="401003" y="253365"/>
              </a:lnTo>
              <a:cubicBezTo>
                <a:pt x="389573" y="256223"/>
                <a:pt x="376238" y="258127"/>
                <a:pt x="362903" y="260033"/>
              </a:cubicBezTo>
              <a:close/>
              <a:moveTo>
                <a:pt x="286703" y="266700"/>
              </a:moveTo>
              <a:lnTo>
                <a:pt x="286703" y="228600"/>
              </a:lnTo>
              <a:cubicBezTo>
                <a:pt x="298133" y="228600"/>
                <a:pt x="311468" y="227648"/>
                <a:pt x="324803" y="226695"/>
              </a:cubicBezTo>
              <a:lnTo>
                <a:pt x="324803" y="264795"/>
              </a:lnTo>
              <a:cubicBezTo>
                <a:pt x="312420" y="265748"/>
                <a:pt x="300038" y="265748"/>
                <a:pt x="286703" y="266700"/>
              </a:cubicBezTo>
              <a:close/>
              <a:moveTo>
                <a:pt x="210503" y="264795"/>
              </a:moveTo>
              <a:lnTo>
                <a:pt x="210503" y="226695"/>
              </a:lnTo>
              <a:cubicBezTo>
                <a:pt x="222885" y="227648"/>
                <a:pt x="235267" y="228600"/>
                <a:pt x="248603" y="228600"/>
              </a:cubicBezTo>
              <a:lnTo>
                <a:pt x="248603" y="266700"/>
              </a:lnTo>
              <a:cubicBezTo>
                <a:pt x="235267" y="265748"/>
                <a:pt x="222885" y="265748"/>
                <a:pt x="210503" y="264795"/>
              </a:cubicBezTo>
              <a:close/>
              <a:moveTo>
                <a:pt x="705803" y="381000"/>
              </a:moveTo>
              <a:cubicBezTo>
                <a:pt x="705803" y="412433"/>
                <a:pt x="612458" y="438150"/>
                <a:pt x="496253" y="438150"/>
              </a:cubicBezTo>
              <a:cubicBezTo>
                <a:pt x="380048" y="438150"/>
                <a:pt x="286703" y="412433"/>
                <a:pt x="286703" y="381000"/>
              </a:cubicBezTo>
              <a:cubicBezTo>
                <a:pt x="286703" y="349568"/>
                <a:pt x="380048" y="323850"/>
                <a:pt x="496253" y="323850"/>
              </a:cubicBezTo>
              <a:cubicBezTo>
                <a:pt x="612458" y="323850"/>
                <a:pt x="705803" y="349568"/>
                <a:pt x="705803" y="381000"/>
              </a:cubicBezTo>
              <a:close/>
              <a:moveTo>
                <a:pt x="762953" y="409575"/>
              </a:moveTo>
              <a:lnTo>
                <a:pt x="762953" y="381000"/>
              </a:lnTo>
              <a:cubicBezTo>
                <a:pt x="762953" y="336233"/>
                <a:pt x="727710" y="303848"/>
                <a:pt x="659130" y="285750"/>
              </a:cubicBezTo>
              <a:cubicBezTo>
                <a:pt x="633413" y="279083"/>
                <a:pt x="603885" y="273368"/>
                <a:pt x="570548" y="270510"/>
              </a:cubicBezTo>
              <a:cubicBezTo>
                <a:pt x="571500" y="266700"/>
                <a:pt x="571500" y="261938"/>
                <a:pt x="571500" y="257175"/>
              </a:cubicBezTo>
              <a:cubicBezTo>
                <a:pt x="571500" y="230505"/>
                <a:pt x="559118" y="207645"/>
                <a:pt x="533400" y="190500"/>
              </a:cubicBezTo>
              <a:lnTo>
                <a:pt x="533400" y="114300"/>
              </a:lnTo>
              <a:cubicBezTo>
                <a:pt x="533400" y="69532"/>
                <a:pt x="498158" y="37147"/>
                <a:pt x="429578" y="19050"/>
              </a:cubicBezTo>
              <a:cubicBezTo>
                <a:pt x="384810" y="6667"/>
                <a:pt x="327660" y="0"/>
                <a:pt x="266700" y="0"/>
              </a:cubicBezTo>
              <a:cubicBezTo>
                <a:pt x="186690" y="0"/>
                <a:pt x="0" y="11430"/>
                <a:pt x="0" y="114300"/>
              </a:cubicBezTo>
              <a:lnTo>
                <a:pt x="0" y="209550"/>
              </a:lnTo>
              <a:cubicBezTo>
                <a:pt x="0" y="236220"/>
                <a:pt x="12382" y="259080"/>
                <a:pt x="38100" y="276225"/>
              </a:cubicBezTo>
              <a:lnTo>
                <a:pt x="38100" y="294323"/>
              </a:lnTo>
              <a:cubicBezTo>
                <a:pt x="15240" y="310515"/>
                <a:pt x="0" y="332423"/>
                <a:pt x="0" y="361950"/>
              </a:cubicBezTo>
              <a:lnTo>
                <a:pt x="0" y="457200"/>
              </a:lnTo>
              <a:cubicBezTo>
                <a:pt x="0" y="501967"/>
                <a:pt x="35243" y="534353"/>
                <a:pt x="103822" y="552450"/>
              </a:cubicBezTo>
              <a:cubicBezTo>
                <a:pt x="148590" y="564833"/>
                <a:pt x="205740" y="571500"/>
                <a:pt x="266700" y="571500"/>
              </a:cubicBezTo>
              <a:cubicBezTo>
                <a:pt x="266700" y="616268"/>
                <a:pt x="301943" y="648653"/>
                <a:pt x="370523" y="666750"/>
              </a:cubicBezTo>
              <a:cubicBezTo>
                <a:pt x="415290" y="679133"/>
                <a:pt x="472440" y="685800"/>
                <a:pt x="533400" y="685800"/>
              </a:cubicBezTo>
              <a:cubicBezTo>
                <a:pt x="613410" y="685800"/>
                <a:pt x="800100" y="674370"/>
                <a:pt x="800100" y="571500"/>
              </a:cubicBezTo>
              <a:lnTo>
                <a:pt x="800100" y="476250"/>
              </a:lnTo>
              <a:cubicBezTo>
                <a:pt x="801053" y="449580"/>
                <a:pt x="788670" y="426720"/>
                <a:pt x="762953" y="409575"/>
              </a:cubicBezTo>
              <a:close/>
            </a:path>
          </a:pathLst>
        </a:custGeom>
        <a:solidFill>
          <a:srgbClr val="000000"/>
        </a:solidFill>
        <a:ln w="9525" cap="flat">
          <a:noFill/>
          <a:prstDash val="solid"/>
          <a:miter/>
        </a:ln>
      </xdr:spPr>
    </xdr:sp>
    <xdr:clientData/>
  </xdr:twoCellAnchor>
  <xdr:twoCellAnchor>
    <xdr:from>
      <xdr:col>4</xdr:col>
      <xdr:colOff>19050</xdr:colOff>
      <xdr:row>5</xdr:row>
      <xdr:rowOff>133350</xdr:rowOff>
    </xdr:from>
    <xdr:to>
      <xdr:col>6</xdr:col>
      <xdr:colOff>214312</xdr:colOff>
      <xdr:row>7</xdr:row>
      <xdr:rowOff>66675</xdr:rowOff>
    </xdr:to>
    <xdr:sp macro="" textlink="">
      <xdr:nvSpPr>
        <xdr:cNvPr id="27" name="Rectangle 26">
          <a:extLst>
            <a:ext uri="{FF2B5EF4-FFF2-40B4-BE49-F238E27FC236}">
              <a16:creationId xmlns:a16="http://schemas.microsoft.com/office/drawing/2014/main" id="{A26149B4-EDA0-36A9-FC78-668DF7F99E54}"/>
            </a:ext>
          </a:extLst>
        </xdr:cNvPr>
        <xdr:cNvSpPr/>
      </xdr:nvSpPr>
      <xdr:spPr>
        <a:xfrm>
          <a:off x="2609850" y="1038225"/>
          <a:ext cx="1490662"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u="sng">
              <a:solidFill>
                <a:schemeClr val="tx1"/>
              </a:solidFill>
              <a:latin typeface="Arial Black" panose="020B0A04020102020204" pitchFamily="34" charset="0"/>
            </a:rPr>
            <a:t>TOTAL</a:t>
          </a:r>
          <a:r>
            <a:rPr lang="en-IN" sz="1200" b="1" i="1" u="sng" baseline="0">
              <a:solidFill>
                <a:schemeClr val="tx1"/>
              </a:solidFill>
              <a:latin typeface="Arial Black" panose="020B0A04020102020204" pitchFamily="34" charset="0"/>
            </a:rPr>
            <a:t> SALES</a:t>
          </a:r>
          <a:endParaRPr lang="en-IN" sz="1200" b="1" i="1" u="sng">
            <a:solidFill>
              <a:schemeClr val="tx1"/>
            </a:solidFill>
            <a:latin typeface="Arial Black" panose="020B0A04020102020204" pitchFamily="34" charset="0"/>
          </a:endParaRPr>
        </a:p>
      </xdr:txBody>
    </xdr:sp>
    <xdr:clientData/>
  </xdr:twoCellAnchor>
  <xdr:twoCellAnchor>
    <xdr:from>
      <xdr:col>4</xdr:col>
      <xdr:colOff>390525</xdr:colOff>
      <xdr:row>7</xdr:row>
      <xdr:rowOff>4762</xdr:rowOff>
    </xdr:from>
    <xdr:to>
      <xdr:col>6</xdr:col>
      <xdr:colOff>376238</xdr:colOff>
      <xdr:row>10</xdr:row>
      <xdr:rowOff>47624</xdr:rowOff>
    </xdr:to>
    <xdr:sp macro="" textlink="SalesData!C24">
      <xdr:nvSpPr>
        <xdr:cNvPr id="32" name="Rectangle 31">
          <a:extLst>
            <a:ext uri="{FF2B5EF4-FFF2-40B4-BE49-F238E27FC236}">
              <a16:creationId xmlns:a16="http://schemas.microsoft.com/office/drawing/2014/main" id="{DCCBD4C7-4E6E-63EC-40D1-12A306130469}"/>
            </a:ext>
          </a:extLst>
        </xdr:cNvPr>
        <xdr:cNvSpPr/>
      </xdr:nvSpPr>
      <xdr:spPr>
        <a:xfrm>
          <a:off x="2981325" y="1271587"/>
          <a:ext cx="1281113" cy="5857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03CACA-9F3A-4E8B-A0FF-B2BEFC145882}" type="TxLink">
            <a:rPr lang="en-US" sz="1400" b="0" i="0" u="none" strike="noStrike">
              <a:solidFill>
                <a:srgbClr val="000000"/>
              </a:solidFill>
              <a:latin typeface="Arial Black" panose="020B0A04020102020204" pitchFamily="34" charset="0"/>
              <a:ea typeface="Calibri"/>
              <a:cs typeface="Calibri"/>
            </a:rPr>
            <a:pPr algn="ctr"/>
            <a:t> ₹ 6,94,900 </a:t>
          </a:fld>
          <a:endParaRPr lang="en-IN" sz="1400">
            <a:latin typeface="Arial Black" panose="020B0A04020102020204" pitchFamily="34" charset="0"/>
          </a:endParaRPr>
        </a:p>
      </xdr:txBody>
    </xdr:sp>
    <xdr:clientData/>
  </xdr:twoCellAnchor>
  <xdr:twoCellAnchor>
    <xdr:from>
      <xdr:col>6</xdr:col>
      <xdr:colOff>428625</xdr:colOff>
      <xdr:row>5</xdr:row>
      <xdr:rowOff>166689</xdr:rowOff>
    </xdr:from>
    <xdr:to>
      <xdr:col>9</xdr:col>
      <xdr:colOff>385763</xdr:colOff>
      <xdr:row>7</xdr:row>
      <xdr:rowOff>119064</xdr:rowOff>
    </xdr:to>
    <xdr:sp macro="" textlink="">
      <xdr:nvSpPr>
        <xdr:cNvPr id="37" name="Rectangle 36">
          <a:extLst>
            <a:ext uri="{FF2B5EF4-FFF2-40B4-BE49-F238E27FC236}">
              <a16:creationId xmlns:a16="http://schemas.microsoft.com/office/drawing/2014/main" id="{3EA96D43-F871-5641-4E2D-CD763B7B15EA}"/>
            </a:ext>
          </a:extLst>
        </xdr:cNvPr>
        <xdr:cNvSpPr/>
      </xdr:nvSpPr>
      <xdr:spPr>
        <a:xfrm>
          <a:off x="4314825" y="1071564"/>
          <a:ext cx="1900238"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1" u="sng">
              <a:solidFill>
                <a:schemeClr val="tx1"/>
              </a:solidFill>
              <a:latin typeface="Arial Black" panose="020B0A04020102020204" pitchFamily="34" charset="0"/>
            </a:rPr>
            <a:t>TOTAL</a:t>
          </a:r>
          <a:r>
            <a:rPr lang="en-IN" sz="1200" b="1" i="1" u="sng" baseline="0">
              <a:solidFill>
                <a:schemeClr val="tx1"/>
              </a:solidFill>
              <a:latin typeface="Arial Black" panose="020B0A04020102020204" pitchFamily="34" charset="0"/>
            </a:rPr>
            <a:t> QUANTITY</a:t>
          </a:r>
          <a:endParaRPr lang="en-IN" sz="1200" b="1" i="1" u="sng">
            <a:solidFill>
              <a:schemeClr val="tx1"/>
            </a:solidFill>
            <a:latin typeface="Arial Black" panose="020B0A04020102020204" pitchFamily="34" charset="0"/>
          </a:endParaRPr>
        </a:p>
      </xdr:txBody>
    </xdr:sp>
    <xdr:clientData/>
  </xdr:twoCellAnchor>
  <xdr:twoCellAnchor>
    <xdr:from>
      <xdr:col>9</xdr:col>
      <xdr:colOff>519114</xdr:colOff>
      <xdr:row>6</xdr:row>
      <xdr:rowOff>9525</xdr:rowOff>
    </xdr:from>
    <xdr:to>
      <xdr:col>12</xdr:col>
      <xdr:colOff>61914</xdr:colOff>
      <xdr:row>7</xdr:row>
      <xdr:rowOff>95250</xdr:rowOff>
    </xdr:to>
    <xdr:sp macro="" textlink="">
      <xdr:nvSpPr>
        <xdr:cNvPr id="39" name="Rectangle 38">
          <a:extLst>
            <a:ext uri="{FF2B5EF4-FFF2-40B4-BE49-F238E27FC236}">
              <a16:creationId xmlns:a16="http://schemas.microsoft.com/office/drawing/2014/main" id="{129FFC96-5378-4DC7-B09E-6FC48823E974}"/>
            </a:ext>
          </a:extLst>
        </xdr:cNvPr>
        <xdr:cNvSpPr/>
      </xdr:nvSpPr>
      <xdr:spPr>
        <a:xfrm>
          <a:off x="6348414" y="1095375"/>
          <a:ext cx="148590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1" u="sng">
              <a:solidFill>
                <a:schemeClr val="tx1"/>
              </a:solidFill>
              <a:latin typeface="Arial Black" panose="020B0A04020102020204" pitchFamily="34" charset="0"/>
            </a:rPr>
            <a:t>ORDER</a:t>
          </a:r>
          <a:r>
            <a:rPr lang="en-IN" sz="1200" b="1" i="1" u="sng" baseline="0">
              <a:solidFill>
                <a:schemeClr val="tx1"/>
              </a:solidFill>
              <a:latin typeface="Arial Black" panose="020B0A04020102020204" pitchFamily="34" charset="0"/>
            </a:rPr>
            <a:t> COUNT</a:t>
          </a:r>
          <a:endParaRPr lang="en-IN" sz="1200" b="1" i="1" u="sng">
            <a:solidFill>
              <a:schemeClr val="tx1"/>
            </a:solidFill>
            <a:latin typeface="Arial Black" panose="020B0A04020102020204" pitchFamily="34" charset="0"/>
          </a:endParaRPr>
        </a:p>
      </xdr:txBody>
    </xdr:sp>
    <xdr:clientData/>
  </xdr:twoCellAnchor>
  <xdr:twoCellAnchor editAs="oneCell">
    <xdr:from>
      <xdr:col>6</xdr:col>
      <xdr:colOff>578314</xdr:colOff>
      <xdr:row>7</xdr:row>
      <xdr:rowOff>11593</xdr:rowOff>
    </xdr:from>
    <xdr:to>
      <xdr:col>7</xdr:col>
      <xdr:colOff>555162</xdr:colOff>
      <xdr:row>10</xdr:row>
      <xdr:rowOff>93216</xdr:rowOff>
    </xdr:to>
    <xdr:pic>
      <xdr:nvPicPr>
        <xdr:cNvPr id="45" name="Graphic 44" descr="List with solid fill">
          <a:extLst>
            <a:ext uri="{FF2B5EF4-FFF2-40B4-BE49-F238E27FC236}">
              <a16:creationId xmlns:a16="http://schemas.microsoft.com/office/drawing/2014/main" id="{DA409425-2CFB-4DEA-52D4-FA80B0CFB2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64514" y="1278418"/>
          <a:ext cx="624548" cy="624548"/>
        </a:xfrm>
        <a:prstGeom prst="rect">
          <a:avLst/>
        </a:prstGeom>
      </xdr:spPr>
    </xdr:pic>
    <xdr:clientData/>
  </xdr:twoCellAnchor>
  <xdr:twoCellAnchor>
    <xdr:from>
      <xdr:col>7</xdr:col>
      <xdr:colOff>271461</xdr:colOff>
      <xdr:row>7</xdr:row>
      <xdr:rowOff>28576</xdr:rowOff>
    </xdr:from>
    <xdr:to>
      <xdr:col>9</xdr:col>
      <xdr:colOff>252412</xdr:colOff>
      <xdr:row>10</xdr:row>
      <xdr:rowOff>33339</xdr:rowOff>
    </xdr:to>
    <xdr:sp macro="" textlink="SalesData!C25">
      <xdr:nvSpPr>
        <xdr:cNvPr id="47" name="Rectangle 46">
          <a:extLst>
            <a:ext uri="{FF2B5EF4-FFF2-40B4-BE49-F238E27FC236}">
              <a16:creationId xmlns:a16="http://schemas.microsoft.com/office/drawing/2014/main" id="{801B1555-50A8-4100-9BAC-E8CE151C4C4F}"/>
            </a:ext>
          </a:extLst>
        </xdr:cNvPr>
        <xdr:cNvSpPr/>
      </xdr:nvSpPr>
      <xdr:spPr>
        <a:xfrm>
          <a:off x="4805361" y="1295401"/>
          <a:ext cx="1276351" cy="5476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E54CF9-564B-43AA-BB6E-304F06B3C969}" type="TxLink">
            <a:rPr lang="en-US" sz="2400" b="0" i="0" u="none" strike="noStrike">
              <a:solidFill>
                <a:srgbClr val="000000"/>
              </a:solidFill>
              <a:latin typeface="Arial Black" panose="020B0A04020102020204" pitchFamily="34" charset="0"/>
              <a:ea typeface="Calibri"/>
              <a:cs typeface="Calibri"/>
            </a:rPr>
            <a:pPr algn="ctr"/>
            <a:t>106</a:t>
          </a:fld>
          <a:endParaRPr lang="en-IN" sz="2400">
            <a:latin typeface="Arial Black" panose="020B0A04020102020204" pitchFamily="34" charset="0"/>
          </a:endParaRPr>
        </a:p>
      </xdr:txBody>
    </xdr:sp>
    <xdr:clientData/>
  </xdr:twoCellAnchor>
  <xdr:twoCellAnchor editAs="oneCell">
    <xdr:from>
      <xdr:col>0</xdr:col>
      <xdr:colOff>338138</xdr:colOff>
      <xdr:row>8</xdr:row>
      <xdr:rowOff>133349</xdr:rowOff>
    </xdr:from>
    <xdr:to>
      <xdr:col>3</xdr:col>
      <xdr:colOff>223838</xdr:colOff>
      <xdr:row>18</xdr:row>
      <xdr:rowOff>114300</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588E3690-7A36-4738-96FB-8018DF1CD1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8138" y="1581149"/>
              <a:ext cx="1828800" cy="1790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19</xdr:row>
      <xdr:rowOff>90489</xdr:rowOff>
    </xdr:from>
    <xdr:to>
      <xdr:col>3</xdr:col>
      <xdr:colOff>238125</xdr:colOff>
      <xdr:row>28</xdr:row>
      <xdr:rowOff>19052</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AEDFC789-F7FF-4DB0-A8EE-C486B91BCC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2425" y="3529014"/>
              <a:ext cx="1828800" cy="1557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435449</xdr:colOff>
      <xdr:row>7</xdr:row>
      <xdr:rowOff>16345</xdr:rowOff>
    </xdr:from>
    <xdr:to>
      <xdr:col>10</xdr:col>
      <xdr:colOff>412297</xdr:colOff>
      <xdr:row>10</xdr:row>
      <xdr:rowOff>97968</xdr:rowOff>
    </xdr:to>
    <xdr:pic>
      <xdr:nvPicPr>
        <xdr:cNvPr id="51" name="Graphic 50" descr="Clipboard with solid fill">
          <a:extLst>
            <a:ext uri="{FF2B5EF4-FFF2-40B4-BE49-F238E27FC236}">
              <a16:creationId xmlns:a16="http://schemas.microsoft.com/office/drawing/2014/main" id="{B448A703-997E-9CE1-ABF1-616E503148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64749" y="1283170"/>
          <a:ext cx="624548" cy="624548"/>
        </a:xfrm>
        <a:prstGeom prst="rect">
          <a:avLst/>
        </a:prstGeom>
      </xdr:spPr>
    </xdr:pic>
    <xdr:clientData/>
  </xdr:twoCellAnchor>
  <xdr:twoCellAnchor>
    <xdr:from>
      <xdr:col>10</xdr:col>
      <xdr:colOff>90487</xdr:colOff>
      <xdr:row>7</xdr:row>
      <xdr:rowOff>76200</xdr:rowOff>
    </xdr:from>
    <xdr:to>
      <xdr:col>12</xdr:col>
      <xdr:colOff>71438</xdr:colOff>
      <xdr:row>10</xdr:row>
      <xdr:rowOff>80963</xdr:rowOff>
    </xdr:to>
    <xdr:sp macro="" textlink="SalesData!C27">
      <xdr:nvSpPr>
        <xdr:cNvPr id="52" name="Rectangle 51">
          <a:extLst>
            <a:ext uri="{FF2B5EF4-FFF2-40B4-BE49-F238E27FC236}">
              <a16:creationId xmlns:a16="http://schemas.microsoft.com/office/drawing/2014/main" id="{E7A1BC2C-DAB5-4591-B8AE-9173E0B6C2D8}"/>
            </a:ext>
          </a:extLst>
        </xdr:cNvPr>
        <xdr:cNvSpPr/>
      </xdr:nvSpPr>
      <xdr:spPr>
        <a:xfrm>
          <a:off x="6567487" y="1343025"/>
          <a:ext cx="1276351" cy="5476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E33DDD-251C-4D2C-ACDE-45845B70CA5D}" type="TxLink">
            <a:rPr lang="en-US" sz="2000" b="1" i="0" u="none" strike="noStrike">
              <a:solidFill>
                <a:srgbClr val="000000"/>
              </a:solidFill>
              <a:latin typeface="Arial Black" panose="020B0A04020102020204" pitchFamily="34" charset="0"/>
              <a:ea typeface="Calibri"/>
              <a:cs typeface="Calibri"/>
            </a:rPr>
            <a:pPr algn="ctr"/>
            <a:t>20</a:t>
          </a:fld>
          <a:endParaRPr lang="en-IN" sz="2000" b="1">
            <a:latin typeface="Arial Black" panose="020B0A04020102020204" pitchFamily="34" charset="0"/>
          </a:endParaRPr>
        </a:p>
      </xdr:txBody>
    </xdr:sp>
    <xdr:clientData/>
  </xdr:twoCellAnchor>
  <xdr:twoCellAnchor>
    <xdr:from>
      <xdr:col>3</xdr:col>
      <xdr:colOff>595313</xdr:colOff>
      <xdr:row>12</xdr:row>
      <xdr:rowOff>95250</xdr:rowOff>
    </xdr:from>
    <xdr:to>
      <xdr:col>8</xdr:col>
      <xdr:colOff>533399</xdr:colOff>
      <xdr:row>29</xdr:row>
      <xdr:rowOff>52388</xdr:rowOff>
    </xdr:to>
    <xdr:graphicFrame macro="">
      <xdr:nvGraphicFramePr>
        <xdr:cNvPr id="54" name="Chart 53">
          <a:extLst>
            <a:ext uri="{FF2B5EF4-FFF2-40B4-BE49-F238E27FC236}">
              <a16:creationId xmlns:a16="http://schemas.microsoft.com/office/drawing/2014/main" id="{D121EED7-FC5B-4D4B-827A-12BD016BE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228599</xdr:colOff>
      <xdr:row>1</xdr:row>
      <xdr:rowOff>114300</xdr:rowOff>
    </xdr:from>
    <xdr:to>
      <xdr:col>20</xdr:col>
      <xdr:colOff>385762</xdr:colOff>
      <xdr:row>11</xdr:row>
      <xdr:rowOff>142875</xdr:rowOff>
    </xdr:to>
    <xdr:graphicFrame macro="">
      <xdr:nvGraphicFramePr>
        <xdr:cNvPr id="56" name="Chart 55">
          <a:extLst>
            <a:ext uri="{FF2B5EF4-FFF2-40B4-BE49-F238E27FC236}">
              <a16:creationId xmlns:a16="http://schemas.microsoft.com/office/drawing/2014/main" id="{4DAFA9B3-CDF7-4831-9EC4-F09629D02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204788</xdr:colOff>
      <xdr:row>12</xdr:row>
      <xdr:rowOff>104775</xdr:rowOff>
    </xdr:from>
    <xdr:to>
      <xdr:col>14</xdr:col>
      <xdr:colOff>381000</xdr:colOff>
      <xdr:row>28</xdr:row>
      <xdr:rowOff>171450</xdr:rowOff>
    </xdr:to>
    <xdr:graphicFrame macro="">
      <xdr:nvGraphicFramePr>
        <xdr:cNvPr id="57" name="Chart 56">
          <a:extLst>
            <a:ext uri="{FF2B5EF4-FFF2-40B4-BE49-F238E27FC236}">
              <a16:creationId xmlns:a16="http://schemas.microsoft.com/office/drawing/2014/main" id="{54A923E8-790F-44A2-82C9-29837F30A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157164</xdr:colOff>
      <xdr:row>13</xdr:row>
      <xdr:rowOff>42864</xdr:rowOff>
    </xdr:from>
    <xdr:to>
      <xdr:col>20</xdr:col>
      <xdr:colOff>209550</xdr:colOff>
      <xdr:row>28</xdr:row>
      <xdr:rowOff>80965</xdr:rowOff>
    </xdr:to>
    <xdr:graphicFrame macro="">
      <xdr:nvGraphicFramePr>
        <xdr:cNvPr id="58" name="Chart 57">
          <a:extLst>
            <a:ext uri="{FF2B5EF4-FFF2-40B4-BE49-F238E27FC236}">
              <a16:creationId xmlns:a16="http://schemas.microsoft.com/office/drawing/2014/main" id="{35A9846A-F4F5-4B3F-AC0D-6014C2937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33338</xdr:colOff>
      <xdr:row>0</xdr:row>
      <xdr:rowOff>147638</xdr:rowOff>
    </xdr:from>
    <xdr:to>
      <xdr:col>3</xdr:col>
      <xdr:colOff>481012</xdr:colOff>
      <xdr:row>5</xdr:row>
      <xdr:rowOff>157163</xdr:rowOff>
    </xdr:to>
    <xdr:sp macro="" textlink="">
      <xdr:nvSpPr>
        <xdr:cNvPr id="59" name="Rectangle: Rounded Corners 58">
          <a:extLst>
            <a:ext uri="{FF2B5EF4-FFF2-40B4-BE49-F238E27FC236}">
              <a16:creationId xmlns:a16="http://schemas.microsoft.com/office/drawing/2014/main" id="{76402D15-C72D-205B-2A2A-103950E34BAA}"/>
            </a:ext>
          </a:extLst>
        </xdr:cNvPr>
        <xdr:cNvSpPr/>
      </xdr:nvSpPr>
      <xdr:spPr>
        <a:xfrm>
          <a:off x="681038" y="147638"/>
          <a:ext cx="1743074" cy="9144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381000</xdr:colOff>
      <xdr:row>0</xdr:row>
      <xdr:rowOff>133349</xdr:rowOff>
    </xdr:from>
    <xdr:to>
      <xdr:col>3</xdr:col>
      <xdr:colOff>28575</xdr:colOff>
      <xdr:row>5</xdr:row>
      <xdr:rowOff>171449</xdr:rowOff>
    </xdr:to>
    <xdr:pic>
      <xdr:nvPicPr>
        <xdr:cNvPr id="61" name="Graphic 60" descr="Research with solid fill">
          <a:extLst>
            <a:ext uri="{FF2B5EF4-FFF2-40B4-BE49-F238E27FC236}">
              <a16:creationId xmlns:a16="http://schemas.microsoft.com/office/drawing/2014/main" id="{334774B1-CCBC-8F25-6F3E-7B35249E177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8700" y="133349"/>
          <a:ext cx="942975" cy="942975"/>
        </a:xfrm>
        <a:prstGeom prst="rect">
          <a:avLst/>
        </a:prstGeom>
      </xdr:spPr>
    </xdr:pic>
    <xdr:clientData/>
  </xdr:twoCellAnchor>
  <xdr:twoCellAnchor>
    <xdr:from>
      <xdr:col>12</xdr:col>
      <xdr:colOff>104775</xdr:colOff>
      <xdr:row>5</xdr:row>
      <xdr:rowOff>114302</xdr:rowOff>
    </xdr:from>
    <xdr:to>
      <xdr:col>15</xdr:col>
      <xdr:colOff>23816</xdr:colOff>
      <xdr:row>11</xdr:row>
      <xdr:rowOff>38102</xdr:rowOff>
    </xdr:to>
    <xdr:sp macro="" textlink="">
      <xdr:nvSpPr>
        <xdr:cNvPr id="3" name="Rectangle: Rounded Corners 2">
          <a:extLst>
            <a:ext uri="{FF2B5EF4-FFF2-40B4-BE49-F238E27FC236}">
              <a16:creationId xmlns:a16="http://schemas.microsoft.com/office/drawing/2014/main" id="{7774BFFF-6B13-4524-83AA-340064E223C6}"/>
            </a:ext>
          </a:extLst>
        </xdr:cNvPr>
        <xdr:cNvSpPr/>
      </xdr:nvSpPr>
      <xdr:spPr>
        <a:xfrm>
          <a:off x="7877175" y="1019177"/>
          <a:ext cx="1862141" cy="100965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204789</xdr:colOff>
      <xdr:row>5</xdr:row>
      <xdr:rowOff>114301</xdr:rowOff>
    </xdr:from>
    <xdr:to>
      <xdr:col>14</xdr:col>
      <xdr:colOff>590550</xdr:colOff>
      <xdr:row>7</xdr:row>
      <xdr:rowOff>100013</xdr:rowOff>
    </xdr:to>
    <xdr:sp macro="" textlink="">
      <xdr:nvSpPr>
        <xdr:cNvPr id="11" name="Rectangle: Rounded Corners 10">
          <a:extLst>
            <a:ext uri="{FF2B5EF4-FFF2-40B4-BE49-F238E27FC236}">
              <a16:creationId xmlns:a16="http://schemas.microsoft.com/office/drawing/2014/main" id="{EFD57B98-7C41-C1AD-55CF-D80FAE39727D}"/>
            </a:ext>
          </a:extLst>
        </xdr:cNvPr>
        <xdr:cNvSpPr/>
      </xdr:nvSpPr>
      <xdr:spPr>
        <a:xfrm>
          <a:off x="7977189" y="1019176"/>
          <a:ext cx="1681161" cy="34766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u="sng">
              <a:solidFill>
                <a:schemeClr val="tx1"/>
              </a:solidFill>
              <a:latin typeface="Arial Black" panose="020B0A04020102020204" pitchFamily="34" charset="0"/>
            </a:rPr>
            <a:t>Total Profit</a:t>
          </a:r>
        </a:p>
      </xdr:txBody>
    </xdr:sp>
    <xdr:clientData/>
  </xdr:twoCellAnchor>
  <xdr:twoCellAnchor editAs="oneCell">
    <xdr:from>
      <xdr:col>12</xdr:col>
      <xdr:colOff>247651</xdr:colOff>
      <xdr:row>7</xdr:row>
      <xdr:rowOff>142876</xdr:rowOff>
    </xdr:from>
    <xdr:to>
      <xdr:col>13</xdr:col>
      <xdr:colOff>190500</xdr:colOff>
      <xdr:row>10</xdr:row>
      <xdr:rowOff>133350</xdr:rowOff>
    </xdr:to>
    <xdr:pic>
      <xdr:nvPicPr>
        <xdr:cNvPr id="17" name="Graphic 16" descr="Bar graph with upward trend with solid fill">
          <a:extLst>
            <a:ext uri="{FF2B5EF4-FFF2-40B4-BE49-F238E27FC236}">
              <a16:creationId xmlns:a16="http://schemas.microsoft.com/office/drawing/2014/main" id="{8038461F-A9E7-06C1-0D53-F03197F92A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20051" y="1409701"/>
          <a:ext cx="590549" cy="533399"/>
        </a:xfrm>
        <a:prstGeom prst="rect">
          <a:avLst/>
        </a:prstGeom>
      </xdr:spPr>
    </xdr:pic>
    <xdr:clientData/>
  </xdr:twoCellAnchor>
  <xdr:twoCellAnchor>
    <xdr:from>
      <xdr:col>13</xdr:col>
      <xdr:colOff>95250</xdr:colOff>
      <xdr:row>7</xdr:row>
      <xdr:rowOff>157163</xdr:rowOff>
    </xdr:from>
    <xdr:to>
      <xdr:col>14</xdr:col>
      <xdr:colOff>481013</xdr:colOff>
      <xdr:row>10</xdr:row>
      <xdr:rowOff>85725</xdr:rowOff>
    </xdr:to>
    <xdr:sp macro="" textlink="SalesData!C26">
      <xdr:nvSpPr>
        <xdr:cNvPr id="18" name="Rectangle: Rounded Corners 17">
          <a:extLst>
            <a:ext uri="{FF2B5EF4-FFF2-40B4-BE49-F238E27FC236}">
              <a16:creationId xmlns:a16="http://schemas.microsoft.com/office/drawing/2014/main" id="{D9F624AD-95C1-1051-F70D-D6CFE1863CFD}"/>
            </a:ext>
          </a:extLst>
        </xdr:cNvPr>
        <xdr:cNvSpPr/>
      </xdr:nvSpPr>
      <xdr:spPr>
        <a:xfrm>
          <a:off x="8515350" y="1423988"/>
          <a:ext cx="1033463" cy="47148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0063FF-C624-4FD9-AEC2-4CBB284DE6C3}" type="TxLink">
            <a:rPr lang="en-US" sz="1400" b="1" i="0" u="none" strike="noStrike">
              <a:solidFill>
                <a:srgbClr val="000000"/>
              </a:solidFill>
              <a:latin typeface="Arial Black" panose="020B0A04020102020204" pitchFamily="34" charset="0"/>
              <a:ea typeface="Calibri"/>
              <a:cs typeface="Calibri"/>
            </a:rPr>
            <a:pPr algn="ctr"/>
            <a:t>138400</a:t>
          </a:fld>
          <a:endParaRPr lang="en-IN" sz="1400" b="1" i="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sha" refreshedDate="46136.867914814815" createdVersion="8" refreshedVersion="8" minRefreshableVersion="3" recordCount="20" xr:uid="{9FF72BF7-F6C2-436E-A7EC-2AADA42A26D8}">
  <cacheSource type="worksheet">
    <worksheetSource name="SalesData"/>
  </cacheSource>
  <cacheFields count="15">
    <cacheField name="Order_ID" numFmtId="0">
      <sharedItems containsSemiMixedTypes="0" containsString="0" containsNumber="1" containsInteger="1" minValue="1001" maxValue="1020"/>
    </cacheField>
    <cacheField name="Order_Date" numFmtId="14">
      <sharedItems containsSemiMixedTypes="0" containsNonDate="0" containsDate="1" containsString="0" minDate="2025-01-01T00:00:00" maxDate="2025-03-01T00:00:00"/>
    </cacheField>
    <cacheField name="Region" numFmtId="0">
      <sharedItems count="4">
        <s v="North"/>
        <s v="West"/>
        <s v="South"/>
        <s v="East"/>
      </sharedItems>
    </cacheField>
    <cacheField name="Category" numFmtId="0">
      <sharedItems count="3">
        <s v="Electronics"/>
        <s v="Furniture"/>
        <s v="Office Supplies"/>
      </sharedItems>
    </cacheField>
    <cacheField name="Product" numFmtId="0">
      <sharedItems count="20">
        <s v="Laptop"/>
        <s v="Chair"/>
        <s v="Printer"/>
        <s v="Mobile"/>
        <s v="Table"/>
        <s v="Paper"/>
        <s v="Tablet"/>
        <s v="Sofa"/>
        <s v="Pen Set"/>
        <s v="Monitor"/>
        <s v="Desk"/>
        <s v="Notebook"/>
        <s v="Headphones"/>
        <s v="Wardrobe"/>
        <s v="Scanner"/>
        <s v="Camera"/>
        <s v="Stool"/>
        <s v="Markers"/>
        <s v="Speaker"/>
        <s v="Bed"/>
      </sharedItems>
    </cacheField>
    <cacheField name="Salesperson" numFmtId="0">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150" maxValue="55000"/>
    </cacheField>
    <cacheField name="Sales" numFmtId="0">
      <sharedItems containsSemiMixedTypes="0" containsString="0" containsNumber="1" containsInteger="1" minValue="3000" maxValue="110000"/>
    </cacheField>
    <cacheField name="Cost" numFmtId="0">
      <sharedItems containsSemiMixedTypes="0" containsString="0" containsNumber="1" containsInteger="1" minValue="1200" maxValue="95000"/>
    </cacheField>
    <cacheField name="Profit" numFmtId="0">
      <sharedItems containsSemiMixedTypes="0" containsString="0" containsNumber="1" containsInteger="1" minValue="1500" maxValue="18000"/>
    </cacheField>
    <cacheField name="Month" numFmtId="0">
      <sharedItems count="2">
        <s v="Jan"/>
        <s v="Feb"/>
      </sharedItems>
    </cacheField>
    <cacheField name="Quarter" numFmtId="0">
      <sharedItems/>
    </cacheField>
    <cacheField name="Year" numFmtId="0">
      <sharedItems containsSemiMixedTypes="0" containsString="0" containsNumber="1" containsInteger="1" minValue="2025" maxValue="2025" count="1">
        <n v="2025"/>
      </sharedItems>
    </cacheField>
    <cacheField name="Profit Margin %" numFmtId="9">
      <sharedItems containsSemiMixedTypes="0" containsString="0" containsNumber="1" minValue="0.13636363636363635" maxValue="0.6"/>
    </cacheField>
  </cacheFields>
  <extLst>
    <ext xmlns:x14="http://schemas.microsoft.com/office/spreadsheetml/2009/9/main" uri="{725AE2AE-9491-48be-B2B4-4EB974FC3084}">
      <x14:pivotCacheDefinition pivotCacheId="1886908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5-01-01T00:00:00"/>
    <x v="0"/>
    <x v="0"/>
    <x v="0"/>
    <s v="Amit"/>
    <n v="2"/>
    <n v="55000"/>
    <n v="110000"/>
    <n v="95000"/>
    <n v="15000"/>
    <x v="0"/>
    <s v="Q1"/>
    <x v="0"/>
    <n v="0.13636363636363635"/>
  </r>
  <r>
    <n v="1002"/>
    <d v="2025-01-03T00:00:00"/>
    <x v="1"/>
    <x v="1"/>
    <x v="1"/>
    <s v="Riya"/>
    <n v="5"/>
    <n v="3500"/>
    <n v="17500"/>
    <n v="12000"/>
    <n v="5500"/>
    <x v="0"/>
    <s v="Q1"/>
    <x v="0"/>
    <n v="0.31428571428571428"/>
  </r>
  <r>
    <n v="1003"/>
    <d v="2025-01-05T00:00:00"/>
    <x v="2"/>
    <x v="2"/>
    <x v="2"/>
    <s v="Karan"/>
    <n v="3"/>
    <n v="12000"/>
    <n v="36000"/>
    <n v="28000"/>
    <n v="8000"/>
    <x v="0"/>
    <s v="Q1"/>
    <x v="0"/>
    <n v="0.22222222222222221"/>
  </r>
  <r>
    <n v="1004"/>
    <d v="2025-01-07T00:00:00"/>
    <x v="3"/>
    <x v="0"/>
    <x v="3"/>
    <s v="Neha"/>
    <n v="4"/>
    <n v="22000"/>
    <n v="88000"/>
    <n v="70000"/>
    <n v="18000"/>
    <x v="0"/>
    <s v="Q1"/>
    <x v="0"/>
    <n v="0.20454545454545456"/>
  </r>
  <r>
    <n v="1005"/>
    <d v="2025-01-10T00:00:00"/>
    <x v="0"/>
    <x v="1"/>
    <x v="4"/>
    <s v="Amit"/>
    <n v="2"/>
    <n v="8000"/>
    <n v="16000"/>
    <n v="12000"/>
    <n v="4000"/>
    <x v="0"/>
    <s v="Q1"/>
    <x v="0"/>
    <n v="0.25"/>
  </r>
  <r>
    <n v="1006"/>
    <d v="2025-01-12T00:00:00"/>
    <x v="1"/>
    <x v="2"/>
    <x v="5"/>
    <s v="Riya"/>
    <n v="10"/>
    <n v="500"/>
    <n v="5000"/>
    <n v="3000"/>
    <n v="2000"/>
    <x v="0"/>
    <s v="Q1"/>
    <x v="0"/>
    <n v="0.4"/>
  </r>
  <r>
    <n v="1007"/>
    <d v="2025-01-15T00:00:00"/>
    <x v="2"/>
    <x v="0"/>
    <x v="6"/>
    <s v="Karan"/>
    <n v="3"/>
    <n v="18000"/>
    <n v="54000"/>
    <n v="42000"/>
    <n v="12000"/>
    <x v="0"/>
    <s v="Q1"/>
    <x v="0"/>
    <n v="0.22222222222222221"/>
  </r>
  <r>
    <n v="1008"/>
    <d v="2025-01-18T00:00:00"/>
    <x v="3"/>
    <x v="1"/>
    <x v="7"/>
    <s v="Neha"/>
    <n v="1"/>
    <n v="30000"/>
    <n v="30000"/>
    <n v="24000"/>
    <n v="6000"/>
    <x v="0"/>
    <s v="Q1"/>
    <x v="0"/>
    <n v="0.2"/>
  </r>
  <r>
    <n v="1009"/>
    <d v="2025-01-21T00:00:00"/>
    <x v="0"/>
    <x v="2"/>
    <x v="8"/>
    <s v="Amit"/>
    <n v="15"/>
    <n v="200"/>
    <n v="3000"/>
    <n v="1500"/>
    <n v="1500"/>
    <x v="0"/>
    <s v="Q1"/>
    <x v="0"/>
    <n v="0.5"/>
  </r>
  <r>
    <n v="1010"/>
    <d v="2025-01-25T00:00:00"/>
    <x v="1"/>
    <x v="0"/>
    <x v="9"/>
    <s v="Riya"/>
    <n v="4"/>
    <n v="15000"/>
    <n v="60000"/>
    <n v="50000"/>
    <n v="10000"/>
    <x v="0"/>
    <s v="Q1"/>
    <x v="0"/>
    <n v="0.16666666666666666"/>
  </r>
  <r>
    <n v="1011"/>
    <d v="2025-02-01T00:00:00"/>
    <x v="2"/>
    <x v="1"/>
    <x v="10"/>
    <s v="Karan"/>
    <n v="2"/>
    <n v="10000"/>
    <n v="20000"/>
    <n v="15000"/>
    <n v="5000"/>
    <x v="1"/>
    <s v="Q1"/>
    <x v="0"/>
    <n v="0.25"/>
  </r>
  <r>
    <n v="1012"/>
    <d v="2025-02-04T00:00:00"/>
    <x v="3"/>
    <x v="2"/>
    <x v="11"/>
    <s v="Neha"/>
    <n v="12"/>
    <n v="300"/>
    <n v="3600"/>
    <n v="1800"/>
    <n v="1800"/>
    <x v="1"/>
    <s v="Q1"/>
    <x v="0"/>
    <n v="0.5"/>
  </r>
  <r>
    <n v="1013"/>
    <d v="2025-02-08T00:00:00"/>
    <x v="0"/>
    <x v="0"/>
    <x v="12"/>
    <s v="Amit"/>
    <n v="6"/>
    <n v="2500"/>
    <n v="15000"/>
    <n v="9000"/>
    <n v="6000"/>
    <x v="1"/>
    <s v="Q1"/>
    <x v="0"/>
    <n v="0.4"/>
  </r>
  <r>
    <n v="1014"/>
    <d v="2025-02-12T00:00:00"/>
    <x v="1"/>
    <x v="1"/>
    <x v="13"/>
    <s v="Riya"/>
    <n v="1"/>
    <n v="45000"/>
    <n v="45000"/>
    <n v="38000"/>
    <n v="7000"/>
    <x v="1"/>
    <s v="Q1"/>
    <x v="0"/>
    <n v="0.15555555555555556"/>
  </r>
  <r>
    <n v="1015"/>
    <d v="2025-02-15T00:00:00"/>
    <x v="2"/>
    <x v="2"/>
    <x v="14"/>
    <s v="Karan"/>
    <n v="2"/>
    <n v="14000"/>
    <n v="28000"/>
    <n v="22000"/>
    <n v="6000"/>
    <x v="1"/>
    <s v="Q1"/>
    <x v="0"/>
    <n v="0.21428571428571427"/>
  </r>
  <r>
    <n v="1016"/>
    <d v="2025-02-18T00:00:00"/>
    <x v="3"/>
    <x v="0"/>
    <x v="15"/>
    <s v="Neha"/>
    <n v="2"/>
    <n v="35000"/>
    <n v="70000"/>
    <n v="60000"/>
    <n v="10000"/>
    <x v="1"/>
    <s v="Q1"/>
    <x v="0"/>
    <n v="0.14285714285714285"/>
  </r>
  <r>
    <n v="1017"/>
    <d v="2025-02-21T00:00:00"/>
    <x v="0"/>
    <x v="1"/>
    <x v="16"/>
    <s v="Amit"/>
    <n v="6"/>
    <n v="1800"/>
    <n v="10800"/>
    <n v="7000"/>
    <n v="3800"/>
    <x v="1"/>
    <s v="Q1"/>
    <x v="0"/>
    <n v="0.35185185185185186"/>
  </r>
  <r>
    <n v="1018"/>
    <d v="2025-02-24T00:00:00"/>
    <x v="1"/>
    <x v="2"/>
    <x v="17"/>
    <s v="Riya"/>
    <n v="20"/>
    <n v="150"/>
    <n v="3000"/>
    <n v="1200"/>
    <n v="1800"/>
    <x v="1"/>
    <s v="Q1"/>
    <x v="0"/>
    <n v="0.6"/>
  </r>
  <r>
    <n v="1019"/>
    <d v="2025-02-27T00:00:00"/>
    <x v="2"/>
    <x v="0"/>
    <x v="18"/>
    <s v="Karan"/>
    <n v="5"/>
    <n v="5000"/>
    <n v="25000"/>
    <n v="18000"/>
    <n v="7000"/>
    <x v="1"/>
    <s v="Q1"/>
    <x v="0"/>
    <n v="0.28000000000000003"/>
  </r>
  <r>
    <n v="1020"/>
    <d v="2025-02-28T00:00:00"/>
    <x v="3"/>
    <x v="1"/>
    <x v="19"/>
    <s v="Neha"/>
    <n v="1"/>
    <n v="55000"/>
    <n v="55000"/>
    <n v="47000"/>
    <n v="8000"/>
    <x v="1"/>
    <s v="Q1"/>
    <x v="0"/>
    <n v="0.14545454545454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7F1767-2453-4270-AAFB-DAD826244C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K3:L9" firstHeaderRow="1" firstDataRow="1" firstDataCol="1"/>
  <pivotFields count="15">
    <pivotField showAll="0"/>
    <pivotField numFmtId="14" showAll="0"/>
    <pivotField showAll="0">
      <items count="5">
        <item x="3"/>
        <item x="0"/>
        <item x="2"/>
        <item x="1"/>
        <item t="default"/>
      </items>
    </pivotField>
    <pivotField showAll="0">
      <items count="4">
        <item x="0"/>
        <item x="1"/>
        <item x="2"/>
        <item t="default"/>
      </items>
    </pivotField>
    <pivotField axis="axisRow" showAll="0" measureFilter="1">
      <items count="21">
        <item x="19"/>
        <item x="15"/>
        <item x="1"/>
        <item x="10"/>
        <item x="12"/>
        <item x="0"/>
        <item x="17"/>
        <item x="3"/>
        <item x="9"/>
        <item x="11"/>
        <item x="5"/>
        <item x="8"/>
        <item x="2"/>
        <item x="14"/>
        <item x="7"/>
        <item x="18"/>
        <item x="16"/>
        <item x="4"/>
        <item x="6"/>
        <item x="13"/>
        <item t="default"/>
      </items>
    </pivotField>
    <pivotField showAll="0"/>
    <pivotField showAll="0"/>
    <pivotField showAll="0"/>
    <pivotField dataField="1" showAll="0"/>
    <pivotField showAll="0"/>
    <pivotField showAll="0"/>
    <pivotField showAll="0"/>
    <pivotField showAll="0"/>
    <pivotField showAll="0"/>
    <pivotField numFmtId="9" showAll="0"/>
  </pivotFields>
  <rowFields count="1">
    <field x="4"/>
  </rowFields>
  <rowItems count="6">
    <i>
      <x/>
    </i>
    <i>
      <x v="1"/>
    </i>
    <i>
      <x v="5"/>
    </i>
    <i>
      <x v="7"/>
    </i>
    <i>
      <x v="8"/>
    </i>
    <i t="grand">
      <x/>
    </i>
  </rowItems>
  <colItems count="1">
    <i/>
  </colItems>
  <dataFields count="1">
    <dataField name="Sum of Sales" fld="8" baseField="0" baseItem="0"/>
  </dataFields>
  <chartFormats count="18">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4" count="1" selected="0">
            <x v="0"/>
          </reference>
        </references>
      </pivotArea>
    </chartFormat>
    <chartFormat chart="45" format="2">
      <pivotArea type="data" outline="0" fieldPosition="0">
        <references count="2">
          <reference field="4294967294" count="1" selected="0">
            <x v="0"/>
          </reference>
          <reference field="4" count="1" selected="0">
            <x v="1"/>
          </reference>
        </references>
      </pivotArea>
    </chartFormat>
    <chartFormat chart="45" format="3">
      <pivotArea type="data" outline="0" fieldPosition="0">
        <references count="2">
          <reference field="4294967294" count="1" selected="0">
            <x v="0"/>
          </reference>
          <reference field="4" count="1" selected="0">
            <x v="5"/>
          </reference>
        </references>
      </pivotArea>
    </chartFormat>
    <chartFormat chart="45" format="4">
      <pivotArea type="data" outline="0" fieldPosition="0">
        <references count="2">
          <reference field="4294967294" count="1" selected="0">
            <x v="0"/>
          </reference>
          <reference field="4" count="1" selected="0">
            <x v="7"/>
          </reference>
        </references>
      </pivotArea>
    </chartFormat>
    <chartFormat chart="45" format="5">
      <pivotArea type="data" outline="0" fieldPosition="0">
        <references count="2">
          <reference field="4294967294" count="1" selected="0">
            <x v="0"/>
          </reference>
          <reference field="4" count="1" selected="0">
            <x v="8"/>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4" count="1" selected="0">
            <x v="0"/>
          </reference>
        </references>
      </pivotArea>
    </chartFormat>
    <chartFormat chart="47" format="8">
      <pivotArea type="data" outline="0" fieldPosition="0">
        <references count="2">
          <reference field="4294967294" count="1" selected="0">
            <x v="0"/>
          </reference>
          <reference field="4" count="1" selected="0">
            <x v="1"/>
          </reference>
        </references>
      </pivotArea>
    </chartFormat>
    <chartFormat chart="47" format="9">
      <pivotArea type="data" outline="0" fieldPosition="0">
        <references count="2">
          <reference field="4294967294" count="1" selected="0">
            <x v="0"/>
          </reference>
          <reference field="4" count="1" selected="0">
            <x v="5"/>
          </reference>
        </references>
      </pivotArea>
    </chartFormat>
    <chartFormat chart="47" format="10">
      <pivotArea type="data" outline="0" fieldPosition="0">
        <references count="2">
          <reference field="4294967294" count="1" selected="0">
            <x v="0"/>
          </reference>
          <reference field="4" count="1" selected="0">
            <x v="7"/>
          </reference>
        </references>
      </pivotArea>
    </chartFormat>
    <chartFormat chart="47" format="11">
      <pivotArea type="data" outline="0" fieldPosition="0">
        <references count="2">
          <reference field="4294967294" count="1" selected="0">
            <x v="0"/>
          </reference>
          <reference field="4" count="1" selected="0">
            <x v="8"/>
          </reference>
        </references>
      </pivotArea>
    </chartFormat>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4" count="1" selected="0">
            <x v="0"/>
          </reference>
        </references>
      </pivotArea>
    </chartFormat>
    <chartFormat chart="48" format="14">
      <pivotArea type="data" outline="0" fieldPosition="0">
        <references count="2">
          <reference field="4294967294" count="1" selected="0">
            <x v="0"/>
          </reference>
          <reference field="4" count="1" selected="0">
            <x v="1"/>
          </reference>
        </references>
      </pivotArea>
    </chartFormat>
    <chartFormat chart="48" format="15">
      <pivotArea type="data" outline="0" fieldPosition="0">
        <references count="2">
          <reference field="4294967294" count="1" selected="0">
            <x v="0"/>
          </reference>
          <reference field="4" count="1" selected="0">
            <x v="5"/>
          </reference>
        </references>
      </pivotArea>
    </chartFormat>
    <chartFormat chart="48" format="16">
      <pivotArea type="data" outline="0" fieldPosition="0">
        <references count="2">
          <reference field="4294967294" count="1" selected="0">
            <x v="0"/>
          </reference>
          <reference field="4" count="1" selected="0">
            <x v="7"/>
          </reference>
        </references>
      </pivotArea>
    </chartFormat>
    <chartFormat chart="48" format="17">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D2BCE-460D-4331-B3BE-D7F00E2379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H3:I7" firstHeaderRow="1" firstDataRow="1" firstDataCol="1"/>
  <pivotFields count="15">
    <pivotField showAll="0"/>
    <pivotField numFmtId="14" showAll="0"/>
    <pivotField showAll="0">
      <items count="5">
        <item x="3"/>
        <item x="0"/>
        <item x="2"/>
        <item x="1"/>
        <item t="default"/>
      </items>
    </pivotField>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s>
  <rowFields count="1">
    <field x="3"/>
  </rowFields>
  <rowItems count="4">
    <i>
      <x/>
    </i>
    <i>
      <x v="1"/>
    </i>
    <i>
      <x v="2"/>
    </i>
    <i t="grand">
      <x/>
    </i>
  </rowItems>
  <colItems count="1">
    <i/>
  </colItems>
  <dataFields count="1">
    <dataField name="Sum of Profit" fld="10" baseField="0" baseItem="0"/>
  </dataFields>
  <chartFormats count="2">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8F92F-AA10-4D10-8859-7A468F9252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D3:E6" firstHeaderRow="1" firstDataRow="1" firstDataCol="1"/>
  <pivotFields count="15">
    <pivotField showAll="0"/>
    <pivotField numFmtId="14" showAll="0"/>
    <pivotField showAll="0">
      <items count="5">
        <item x="3"/>
        <item x="0"/>
        <item x="2"/>
        <item x="1"/>
        <item t="default"/>
      </items>
    </pivotField>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pivotField showAll="0"/>
    <pivotField numFmtId="9" showAll="0"/>
  </pivotFields>
  <rowFields count="1">
    <field x="11"/>
  </rowFields>
  <rowItems count="3">
    <i>
      <x/>
    </i>
    <i>
      <x v="1"/>
    </i>
    <i t="grand">
      <x/>
    </i>
  </rowItems>
  <colItems count="1">
    <i/>
  </colItems>
  <dataFields count="1">
    <dataField name="Sum of Sales" fld="8" baseField="0" baseItem="0"/>
  </dataFields>
  <chartFormats count="1">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E9131-DBA6-44A2-8F0E-C22C950A2C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8" firstHeaderRow="1" firstDataRow="1" firstDataCol="1"/>
  <pivotFields count="15">
    <pivotField showAll="0"/>
    <pivotField numFmtId="14" showAll="0"/>
    <pivotField axis="axisRow" showAll="0">
      <items count="5">
        <item x="3"/>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9" showAll="0"/>
  </pivotFields>
  <rowFields count="1">
    <field x="2"/>
  </rowFields>
  <rowItems count="5">
    <i>
      <x/>
    </i>
    <i>
      <x v="1"/>
    </i>
    <i>
      <x v="2"/>
    </i>
    <i>
      <x v="3"/>
    </i>
    <i t="grand">
      <x/>
    </i>
  </rowItems>
  <colItems count="1">
    <i/>
  </colItems>
  <dataFields count="1">
    <dataField name="Sum of Sales"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FC6251-C590-44D0-A9B0-8B97CABD10A8}" sourceName="Region">
  <pivotTables>
    <pivotTable tabId="2" name="PivotTable6"/>
  </pivotTables>
  <data>
    <tabular pivotCacheId="188690834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D5E193-A9DB-4487-9EF9-630E0E58CDFA}" sourceName="Category">
  <pivotTables>
    <pivotTable tabId="2" name="PivotTable6"/>
  </pivotTables>
  <data>
    <tabular pivotCacheId="18869083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D6088E-1BC7-4BE5-B18E-203BD4B175D9}" cache="Slicer_Region" caption="Region" style="SlicerStyleLight2" rowHeight="241300"/>
  <slicer name="Category" xr10:uid="{18A30E28-DAC7-4E38-87AE-B7A80FEAFECF}" cache="Slicer_Category" caption="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37BFB4-4487-4CB6-907B-9E8B79DCE58B}" name="SalesData" displayName="SalesData" ref="A1:O21" totalsRowShown="0">
  <autoFilter ref="A1:O21" xr:uid="{1437BFB4-4487-4CB6-907B-9E8B79DCE58B}"/>
  <tableColumns count="15">
    <tableColumn id="1" xr3:uid="{7F0DC3D9-5583-45C0-82D5-EEA2C8A62D45}" name="Order_ID"/>
    <tableColumn id="2" xr3:uid="{AFECE554-0936-4BEB-BC6D-77C24363781C}" name="Order_Date" dataDxfId="4"/>
    <tableColumn id="3" xr3:uid="{E49C079F-45E5-460E-8909-68C765551CD9}" name="Region"/>
    <tableColumn id="4" xr3:uid="{76BC32B9-8ACF-48BF-B531-2C1E2585056C}" name="Category"/>
    <tableColumn id="5" xr3:uid="{5D241616-59E6-4E37-AA0D-3061A7FBC76E}" name="Product"/>
    <tableColumn id="6" xr3:uid="{5E0B572A-28BA-4B5C-8268-F2413B0BE845}" name="Salesperson"/>
    <tableColumn id="7" xr3:uid="{57D761E2-16EF-4C20-8A2A-F3D85D9CEAEF}" name="Quantity"/>
    <tableColumn id="8" xr3:uid="{4094958F-711C-4C7C-844A-1E5F93A1ACBD}" name="Unit_Price"/>
    <tableColumn id="9" xr3:uid="{58C427B6-99C2-452E-A484-3EAA816BA77F}" name="Sales"/>
    <tableColumn id="10" xr3:uid="{05FAA965-D36D-462B-AE83-F492AB91314E}" name="Cost"/>
    <tableColumn id="11" xr3:uid="{E02D6915-EFB8-4A47-98D2-7230509AFB7A}" name="Profit"/>
    <tableColumn id="12" xr3:uid="{C7B80116-1AE7-4EE0-832E-1605B8EC4390}" name="Month" dataDxfId="3">
      <calculatedColumnFormula>TEXT(SalesData[[#This Row],[Order_Date]],"mmm")</calculatedColumnFormula>
    </tableColumn>
    <tableColumn id="13" xr3:uid="{0E266515-9728-463B-AD05-4DCF8E6A54D4}" name="Quarter" dataDxfId="2">
      <calculatedColumnFormula>"Q"&amp;ROUNDUP(MONTH(SalesData[[#This Row],[Order_Date]])/3,0)</calculatedColumnFormula>
    </tableColumn>
    <tableColumn id="14" xr3:uid="{8EDAB56B-6BDA-46C5-85D0-E6A0C942DFE8}" name="Year" dataDxfId="1">
      <calculatedColumnFormula>YEAR(SalesData[[#This Row],[Order_Date]])</calculatedColumnFormula>
    </tableColumn>
    <tableColumn id="15" xr3:uid="{0CBEAAAE-C530-45B2-A6A2-725EF63844FF}" name="Profit Margin %" dataDxfId="0" dataCellStyle="Percent">
      <calculatedColumnFormula>SalesData[[#This Row],[Profit]]/SalesData[[#This Row],[Sales]]</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C259-6B51-46AF-A115-D1852D81675A}">
  <dimension ref="A1:O28"/>
  <sheetViews>
    <sheetView tabSelected="1" workbookViewId="0">
      <selection activeCell="H24" sqref="H24"/>
    </sheetView>
  </sheetViews>
  <sheetFormatPr defaultRowHeight="14.25" x14ac:dyDescent="0.45"/>
  <cols>
    <col min="1" max="1" width="10" customWidth="1"/>
    <col min="2" max="2" width="12.06640625" customWidth="1"/>
    <col min="3" max="3" width="15.06640625" customWidth="1"/>
    <col min="4" max="4" width="12.86328125" customWidth="1"/>
    <col min="5" max="5" width="10.46484375" bestFit="1" customWidth="1"/>
    <col min="6" max="6" width="12.3984375" customWidth="1"/>
    <col min="7" max="7" width="9.73046875" customWidth="1"/>
    <col min="8" max="8" width="10.9296875" customWidth="1"/>
    <col min="9" max="9" width="6.73046875" bestFit="1" customWidth="1"/>
    <col min="10" max="10" width="6.1328125" customWidth="1"/>
    <col min="11" max="11" width="7.06640625" customWidth="1"/>
    <col min="15" max="15" width="18.1328125" customWidth="1"/>
    <col min="16" max="16" width="14.06640625" customWidth="1"/>
  </cols>
  <sheetData>
    <row r="1" spans="1:15" x14ac:dyDescent="0.45">
      <c r="A1" t="s">
        <v>0</v>
      </c>
      <c r="B1" t="s">
        <v>1</v>
      </c>
      <c r="C1" t="s">
        <v>2</v>
      </c>
      <c r="D1" t="s">
        <v>3</v>
      </c>
      <c r="E1" t="s">
        <v>4</v>
      </c>
      <c r="F1" t="s">
        <v>5</v>
      </c>
      <c r="G1" t="s">
        <v>6</v>
      </c>
      <c r="H1" t="s">
        <v>7</v>
      </c>
      <c r="I1" t="s">
        <v>8</v>
      </c>
      <c r="J1" t="s">
        <v>9</v>
      </c>
      <c r="K1" t="s">
        <v>10</v>
      </c>
      <c r="L1" s="12" t="s">
        <v>42</v>
      </c>
      <c r="M1" s="12" t="s">
        <v>43</v>
      </c>
      <c r="N1" s="12" t="s">
        <v>44</v>
      </c>
      <c r="O1" s="12" t="s">
        <v>45</v>
      </c>
    </row>
    <row r="2" spans="1:15" x14ac:dyDescent="0.45">
      <c r="A2">
        <v>1001</v>
      </c>
      <c r="B2" s="1">
        <v>45658</v>
      </c>
      <c r="C2" t="s">
        <v>11</v>
      </c>
      <c r="D2" t="s">
        <v>12</v>
      </c>
      <c r="E2" t="s">
        <v>13</v>
      </c>
      <c r="F2" t="s">
        <v>14</v>
      </c>
      <c r="G2">
        <v>2</v>
      </c>
      <c r="H2">
        <v>55000</v>
      </c>
      <c r="I2">
        <v>110000</v>
      </c>
      <c r="J2">
        <v>95000</v>
      </c>
      <c r="K2">
        <v>15000</v>
      </c>
      <c r="L2" s="12" t="str">
        <f>TEXT(SalesData[[#This Row],[Order_Date]],"mmm")</f>
        <v>Jan</v>
      </c>
      <c r="M2" s="12" t="str">
        <f>"Q"&amp;ROUNDUP(MONTH(SalesData[[#This Row],[Order_Date]])/3,0)</f>
        <v>Q1</v>
      </c>
      <c r="N2" s="12">
        <f>YEAR(SalesData[[#This Row],[Order_Date]])</f>
        <v>2025</v>
      </c>
      <c r="O2" s="13">
        <f>SalesData[[#This Row],[Profit]]/SalesData[[#This Row],[Sales]]</f>
        <v>0.13636363636363635</v>
      </c>
    </row>
    <row r="3" spans="1:15" x14ac:dyDescent="0.45">
      <c r="A3">
        <v>1002</v>
      </c>
      <c r="B3" s="1">
        <v>45660</v>
      </c>
      <c r="C3" t="s">
        <v>15</v>
      </c>
      <c r="D3" t="s">
        <v>16</v>
      </c>
      <c r="E3" t="s">
        <v>17</v>
      </c>
      <c r="F3" t="s">
        <v>18</v>
      </c>
      <c r="G3">
        <v>5</v>
      </c>
      <c r="H3">
        <v>3500</v>
      </c>
      <c r="I3">
        <v>17500</v>
      </c>
      <c r="J3">
        <v>12000</v>
      </c>
      <c r="K3">
        <v>5500</v>
      </c>
      <c r="L3" s="12" t="str">
        <f>TEXT(SalesData[[#This Row],[Order_Date]],"mmm")</f>
        <v>Jan</v>
      </c>
      <c r="M3" s="12" t="str">
        <f>"Q"&amp;ROUNDUP(MONTH(SalesData[[#This Row],[Order_Date]])/3,0)</f>
        <v>Q1</v>
      </c>
      <c r="N3" s="12">
        <f>YEAR(SalesData[[#This Row],[Order_Date]])</f>
        <v>2025</v>
      </c>
      <c r="O3" s="13">
        <f>SalesData[[#This Row],[Profit]]/SalesData[[#This Row],[Sales]]</f>
        <v>0.31428571428571428</v>
      </c>
    </row>
    <row r="4" spans="1:15" x14ac:dyDescent="0.45">
      <c r="A4">
        <v>1003</v>
      </c>
      <c r="B4" s="1">
        <v>45662</v>
      </c>
      <c r="C4" t="s">
        <v>19</v>
      </c>
      <c r="D4" t="s">
        <v>35</v>
      </c>
      <c r="E4" t="s">
        <v>36</v>
      </c>
      <c r="F4" t="s">
        <v>25</v>
      </c>
      <c r="G4">
        <v>3</v>
      </c>
      <c r="H4">
        <v>12000</v>
      </c>
      <c r="I4">
        <v>36000</v>
      </c>
      <c r="J4">
        <v>28000</v>
      </c>
      <c r="K4">
        <v>8000</v>
      </c>
      <c r="L4" s="12" t="str">
        <f>TEXT(SalesData[[#This Row],[Order_Date]],"mmm")</f>
        <v>Jan</v>
      </c>
      <c r="M4" s="12" t="str">
        <f>"Q"&amp;ROUNDUP(MONTH(SalesData[[#This Row],[Order_Date]])/3,0)</f>
        <v>Q1</v>
      </c>
      <c r="N4" s="12">
        <f>YEAR(SalesData[[#This Row],[Order_Date]])</f>
        <v>2025</v>
      </c>
      <c r="O4" s="13">
        <f>SalesData[[#This Row],[Profit]]/SalesData[[#This Row],[Sales]]</f>
        <v>0.22222222222222221</v>
      </c>
    </row>
    <row r="5" spans="1:15" x14ac:dyDescent="0.45">
      <c r="A5">
        <v>1004</v>
      </c>
      <c r="B5" s="1">
        <v>45664</v>
      </c>
      <c r="C5" t="s">
        <v>20</v>
      </c>
      <c r="D5" t="s">
        <v>12</v>
      </c>
      <c r="E5" t="s">
        <v>21</v>
      </c>
      <c r="F5" t="s">
        <v>22</v>
      </c>
      <c r="G5">
        <v>4</v>
      </c>
      <c r="H5">
        <v>22000</v>
      </c>
      <c r="I5">
        <v>88000</v>
      </c>
      <c r="J5">
        <v>70000</v>
      </c>
      <c r="K5">
        <v>18000</v>
      </c>
      <c r="L5" s="12" t="str">
        <f>TEXT(SalesData[[#This Row],[Order_Date]],"mmm")</f>
        <v>Jan</v>
      </c>
      <c r="M5" s="12" t="str">
        <f>"Q"&amp;ROUNDUP(MONTH(SalesData[[#This Row],[Order_Date]])/3,0)</f>
        <v>Q1</v>
      </c>
      <c r="N5" s="12">
        <f>YEAR(SalesData[[#This Row],[Order_Date]])</f>
        <v>2025</v>
      </c>
      <c r="O5" s="13">
        <f>SalesData[[#This Row],[Profit]]/SalesData[[#This Row],[Sales]]</f>
        <v>0.20454545454545456</v>
      </c>
    </row>
    <row r="6" spans="1:15" x14ac:dyDescent="0.45">
      <c r="A6">
        <v>1005</v>
      </c>
      <c r="B6" s="1">
        <v>45667</v>
      </c>
      <c r="C6" t="s">
        <v>11</v>
      </c>
      <c r="D6" t="s">
        <v>16</v>
      </c>
      <c r="E6" t="s">
        <v>23</v>
      </c>
      <c r="F6" t="s">
        <v>14</v>
      </c>
      <c r="G6">
        <v>2</v>
      </c>
      <c r="H6">
        <v>8000</v>
      </c>
      <c r="I6">
        <v>16000</v>
      </c>
      <c r="J6">
        <v>12000</v>
      </c>
      <c r="K6">
        <v>4000</v>
      </c>
      <c r="L6" s="12" t="str">
        <f>TEXT(SalesData[[#This Row],[Order_Date]],"mmm")</f>
        <v>Jan</v>
      </c>
      <c r="M6" s="12" t="str">
        <f>"Q"&amp;ROUNDUP(MONTH(SalesData[[#This Row],[Order_Date]])/3,0)</f>
        <v>Q1</v>
      </c>
      <c r="N6" s="12">
        <f>YEAR(SalesData[[#This Row],[Order_Date]])</f>
        <v>2025</v>
      </c>
      <c r="O6" s="13">
        <f>SalesData[[#This Row],[Profit]]/SalesData[[#This Row],[Sales]]</f>
        <v>0.25</v>
      </c>
    </row>
    <row r="7" spans="1:15" x14ac:dyDescent="0.45">
      <c r="A7">
        <v>1006</v>
      </c>
      <c r="B7" s="1">
        <v>45669</v>
      </c>
      <c r="C7" t="s">
        <v>15</v>
      </c>
      <c r="D7" t="s">
        <v>35</v>
      </c>
      <c r="E7" t="s">
        <v>37</v>
      </c>
      <c r="F7" t="s">
        <v>18</v>
      </c>
      <c r="G7">
        <v>10</v>
      </c>
      <c r="H7">
        <v>500</v>
      </c>
      <c r="I7">
        <v>5000</v>
      </c>
      <c r="J7">
        <v>3000</v>
      </c>
      <c r="K7">
        <v>2000</v>
      </c>
      <c r="L7" s="12" t="str">
        <f>TEXT(SalesData[[#This Row],[Order_Date]],"mmm")</f>
        <v>Jan</v>
      </c>
      <c r="M7" s="12" t="str">
        <f>"Q"&amp;ROUNDUP(MONTH(SalesData[[#This Row],[Order_Date]])/3,0)</f>
        <v>Q1</v>
      </c>
      <c r="N7" s="12">
        <f>YEAR(SalesData[[#This Row],[Order_Date]])</f>
        <v>2025</v>
      </c>
      <c r="O7" s="13">
        <f>SalesData[[#This Row],[Profit]]/SalesData[[#This Row],[Sales]]</f>
        <v>0.4</v>
      </c>
    </row>
    <row r="8" spans="1:15" x14ac:dyDescent="0.45">
      <c r="A8">
        <v>1007</v>
      </c>
      <c r="B8" s="1">
        <v>45672</v>
      </c>
      <c r="C8" t="s">
        <v>19</v>
      </c>
      <c r="D8" t="s">
        <v>12</v>
      </c>
      <c r="E8" t="s">
        <v>24</v>
      </c>
      <c r="F8" t="s">
        <v>25</v>
      </c>
      <c r="G8">
        <v>3</v>
      </c>
      <c r="H8">
        <v>18000</v>
      </c>
      <c r="I8">
        <v>54000</v>
      </c>
      <c r="J8">
        <v>42000</v>
      </c>
      <c r="K8">
        <v>12000</v>
      </c>
      <c r="L8" s="12" t="str">
        <f>TEXT(SalesData[[#This Row],[Order_Date]],"mmm")</f>
        <v>Jan</v>
      </c>
      <c r="M8" s="12" t="str">
        <f>"Q"&amp;ROUNDUP(MONTH(SalesData[[#This Row],[Order_Date]])/3,0)</f>
        <v>Q1</v>
      </c>
      <c r="N8" s="12">
        <f>YEAR(SalesData[[#This Row],[Order_Date]])</f>
        <v>2025</v>
      </c>
      <c r="O8" s="13">
        <f>SalesData[[#This Row],[Profit]]/SalesData[[#This Row],[Sales]]</f>
        <v>0.22222222222222221</v>
      </c>
    </row>
    <row r="9" spans="1:15" x14ac:dyDescent="0.45">
      <c r="A9">
        <v>1008</v>
      </c>
      <c r="B9" s="1">
        <v>45675</v>
      </c>
      <c r="C9" t="s">
        <v>20</v>
      </c>
      <c r="D9" t="s">
        <v>16</v>
      </c>
      <c r="E9" t="s">
        <v>26</v>
      </c>
      <c r="F9" t="s">
        <v>22</v>
      </c>
      <c r="G9">
        <v>1</v>
      </c>
      <c r="H9">
        <v>30000</v>
      </c>
      <c r="I9">
        <v>30000</v>
      </c>
      <c r="J9">
        <v>24000</v>
      </c>
      <c r="K9">
        <v>6000</v>
      </c>
      <c r="L9" s="12" t="str">
        <f>TEXT(SalesData[[#This Row],[Order_Date]],"mmm")</f>
        <v>Jan</v>
      </c>
      <c r="M9" s="12" t="str">
        <f>"Q"&amp;ROUNDUP(MONTH(SalesData[[#This Row],[Order_Date]])/3,0)</f>
        <v>Q1</v>
      </c>
      <c r="N9" s="12">
        <f>YEAR(SalesData[[#This Row],[Order_Date]])</f>
        <v>2025</v>
      </c>
      <c r="O9" s="13">
        <f>SalesData[[#This Row],[Profit]]/SalesData[[#This Row],[Sales]]</f>
        <v>0.2</v>
      </c>
    </row>
    <row r="10" spans="1:15" x14ac:dyDescent="0.45">
      <c r="A10">
        <v>1009</v>
      </c>
      <c r="B10" s="1">
        <v>45678</v>
      </c>
      <c r="C10" t="s">
        <v>11</v>
      </c>
      <c r="D10" t="s">
        <v>35</v>
      </c>
      <c r="E10" t="s">
        <v>38</v>
      </c>
      <c r="F10" t="s">
        <v>14</v>
      </c>
      <c r="G10">
        <v>15</v>
      </c>
      <c r="H10">
        <v>200</v>
      </c>
      <c r="I10">
        <v>3000</v>
      </c>
      <c r="J10">
        <v>1500</v>
      </c>
      <c r="K10">
        <v>1500</v>
      </c>
      <c r="L10" s="12" t="str">
        <f>TEXT(SalesData[[#This Row],[Order_Date]],"mmm")</f>
        <v>Jan</v>
      </c>
      <c r="M10" s="12" t="str">
        <f>"Q"&amp;ROUNDUP(MONTH(SalesData[[#This Row],[Order_Date]])/3,0)</f>
        <v>Q1</v>
      </c>
      <c r="N10" s="12">
        <f>YEAR(SalesData[[#This Row],[Order_Date]])</f>
        <v>2025</v>
      </c>
      <c r="O10" s="13">
        <f>SalesData[[#This Row],[Profit]]/SalesData[[#This Row],[Sales]]</f>
        <v>0.5</v>
      </c>
    </row>
    <row r="11" spans="1:15" x14ac:dyDescent="0.45">
      <c r="A11">
        <v>1010</v>
      </c>
      <c r="B11" s="1">
        <v>45682</v>
      </c>
      <c r="C11" t="s">
        <v>15</v>
      </c>
      <c r="D11" t="s">
        <v>12</v>
      </c>
      <c r="E11" t="s">
        <v>27</v>
      </c>
      <c r="F11" t="s">
        <v>18</v>
      </c>
      <c r="G11">
        <v>4</v>
      </c>
      <c r="H11">
        <v>15000</v>
      </c>
      <c r="I11">
        <v>60000</v>
      </c>
      <c r="J11">
        <v>50000</v>
      </c>
      <c r="K11">
        <v>10000</v>
      </c>
      <c r="L11" s="12" t="str">
        <f>TEXT(SalesData[[#This Row],[Order_Date]],"mmm")</f>
        <v>Jan</v>
      </c>
      <c r="M11" s="12" t="str">
        <f>"Q"&amp;ROUNDUP(MONTH(SalesData[[#This Row],[Order_Date]])/3,0)</f>
        <v>Q1</v>
      </c>
      <c r="N11" s="12">
        <f>YEAR(SalesData[[#This Row],[Order_Date]])</f>
        <v>2025</v>
      </c>
      <c r="O11" s="13">
        <f>SalesData[[#This Row],[Profit]]/SalesData[[#This Row],[Sales]]</f>
        <v>0.16666666666666666</v>
      </c>
    </row>
    <row r="12" spans="1:15" x14ac:dyDescent="0.45">
      <c r="A12">
        <v>1011</v>
      </c>
      <c r="B12" s="1">
        <v>45689</v>
      </c>
      <c r="C12" t="s">
        <v>19</v>
      </c>
      <c r="D12" t="s">
        <v>16</v>
      </c>
      <c r="E12" t="s">
        <v>28</v>
      </c>
      <c r="F12" t="s">
        <v>25</v>
      </c>
      <c r="G12">
        <v>2</v>
      </c>
      <c r="H12">
        <v>10000</v>
      </c>
      <c r="I12">
        <v>20000</v>
      </c>
      <c r="J12">
        <v>15000</v>
      </c>
      <c r="K12">
        <v>5000</v>
      </c>
      <c r="L12" s="12" t="str">
        <f>TEXT(SalesData[[#This Row],[Order_Date]],"mmm")</f>
        <v>Feb</v>
      </c>
      <c r="M12" s="12" t="str">
        <f>"Q"&amp;ROUNDUP(MONTH(SalesData[[#This Row],[Order_Date]])/3,0)</f>
        <v>Q1</v>
      </c>
      <c r="N12" s="12">
        <f>YEAR(SalesData[[#This Row],[Order_Date]])</f>
        <v>2025</v>
      </c>
      <c r="O12" s="13">
        <f>SalesData[[#This Row],[Profit]]/SalesData[[#This Row],[Sales]]</f>
        <v>0.25</v>
      </c>
    </row>
    <row r="13" spans="1:15" x14ac:dyDescent="0.45">
      <c r="A13">
        <v>1012</v>
      </c>
      <c r="B13" s="1">
        <v>45692</v>
      </c>
      <c r="C13" t="s">
        <v>20</v>
      </c>
      <c r="D13" t="s">
        <v>35</v>
      </c>
      <c r="E13" t="s">
        <v>39</v>
      </c>
      <c r="F13" t="s">
        <v>22</v>
      </c>
      <c r="G13">
        <v>12</v>
      </c>
      <c r="H13">
        <v>300</v>
      </c>
      <c r="I13">
        <v>3600</v>
      </c>
      <c r="J13">
        <v>1800</v>
      </c>
      <c r="K13">
        <v>1800</v>
      </c>
      <c r="L13" s="12" t="str">
        <f>TEXT(SalesData[[#This Row],[Order_Date]],"mmm")</f>
        <v>Feb</v>
      </c>
      <c r="M13" s="12" t="str">
        <f>"Q"&amp;ROUNDUP(MONTH(SalesData[[#This Row],[Order_Date]])/3,0)</f>
        <v>Q1</v>
      </c>
      <c r="N13" s="12">
        <f>YEAR(SalesData[[#This Row],[Order_Date]])</f>
        <v>2025</v>
      </c>
      <c r="O13" s="13">
        <f>SalesData[[#This Row],[Profit]]/SalesData[[#This Row],[Sales]]</f>
        <v>0.5</v>
      </c>
    </row>
    <row r="14" spans="1:15" x14ac:dyDescent="0.45">
      <c r="A14">
        <v>1013</v>
      </c>
      <c r="B14" s="1">
        <v>45696</v>
      </c>
      <c r="C14" t="s">
        <v>11</v>
      </c>
      <c r="D14" t="s">
        <v>12</v>
      </c>
      <c r="E14" t="s">
        <v>29</v>
      </c>
      <c r="F14" t="s">
        <v>14</v>
      </c>
      <c r="G14">
        <v>6</v>
      </c>
      <c r="H14">
        <v>2500</v>
      </c>
      <c r="I14">
        <v>15000</v>
      </c>
      <c r="J14">
        <v>9000</v>
      </c>
      <c r="K14">
        <v>6000</v>
      </c>
      <c r="L14" s="12" t="str">
        <f>TEXT(SalesData[[#This Row],[Order_Date]],"mmm")</f>
        <v>Feb</v>
      </c>
      <c r="M14" s="12" t="str">
        <f>"Q"&amp;ROUNDUP(MONTH(SalesData[[#This Row],[Order_Date]])/3,0)</f>
        <v>Q1</v>
      </c>
      <c r="N14" s="12">
        <f>YEAR(SalesData[[#This Row],[Order_Date]])</f>
        <v>2025</v>
      </c>
      <c r="O14" s="13">
        <f>SalesData[[#This Row],[Profit]]/SalesData[[#This Row],[Sales]]</f>
        <v>0.4</v>
      </c>
    </row>
    <row r="15" spans="1:15" x14ac:dyDescent="0.45">
      <c r="A15">
        <v>1014</v>
      </c>
      <c r="B15" s="1">
        <v>45700</v>
      </c>
      <c r="C15" t="s">
        <v>15</v>
      </c>
      <c r="D15" t="s">
        <v>16</v>
      </c>
      <c r="E15" t="s">
        <v>30</v>
      </c>
      <c r="F15" t="s">
        <v>18</v>
      </c>
      <c r="G15">
        <v>1</v>
      </c>
      <c r="H15">
        <v>45000</v>
      </c>
      <c r="I15">
        <v>45000</v>
      </c>
      <c r="J15">
        <v>38000</v>
      </c>
      <c r="K15">
        <v>7000</v>
      </c>
      <c r="L15" s="12" t="str">
        <f>TEXT(SalesData[[#This Row],[Order_Date]],"mmm")</f>
        <v>Feb</v>
      </c>
      <c r="M15" s="12" t="str">
        <f>"Q"&amp;ROUNDUP(MONTH(SalesData[[#This Row],[Order_Date]])/3,0)</f>
        <v>Q1</v>
      </c>
      <c r="N15" s="12">
        <f>YEAR(SalesData[[#This Row],[Order_Date]])</f>
        <v>2025</v>
      </c>
      <c r="O15" s="13">
        <f>SalesData[[#This Row],[Profit]]/SalesData[[#This Row],[Sales]]</f>
        <v>0.15555555555555556</v>
      </c>
    </row>
    <row r="16" spans="1:15" x14ac:dyDescent="0.45">
      <c r="A16">
        <v>1015</v>
      </c>
      <c r="B16" s="1">
        <v>45703</v>
      </c>
      <c r="C16" t="s">
        <v>19</v>
      </c>
      <c r="D16" t="s">
        <v>35</v>
      </c>
      <c r="E16" t="s">
        <v>40</v>
      </c>
      <c r="F16" t="s">
        <v>25</v>
      </c>
      <c r="G16">
        <v>2</v>
      </c>
      <c r="H16">
        <v>14000</v>
      </c>
      <c r="I16">
        <v>28000</v>
      </c>
      <c r="J16">
        <v>22000</v>
      </c>
      <c r="K16">
        <v>6000</v>
      </c>
      <c r="L16" s="12" t="str">
        <f>TEXT(SalesData[[#This Row],[Order_Date]],"mmm")</f>
        <v>Feb</v>
      </c>
      <c r="M16" s="12" t="str">
        <f>"Q"&amp;ROUNDUP(MONTH(SalesData[[#This Row],[Order_Date]])/3,0)</f>
        <v>Q1</v>
      </c>
      <c r="N16" s="12">
        <f>YEAR(SalesData[[#This Row],[Order_Date]])</f>
        <v>2025</v>
      </c>
      <c r="O16" s="13">
        <f>SalesData[[#This Row],[Profit]]/SalesData[[#This Row],[Sales]]</f>
        <v>0.21428571428571427</v>
      </c>
    </row>
    <row r="17" spans="1:15" x14ac:dyDescent="0.45">
      <c r="A17">
        <v>1016</v>
      </c>
      <c r="B17" s="1">
        <v>45706</v>
      </c>
      <c r="C17" t="s">
        <v>20</v>
      </c>
      <c r="D17" t="s">
        <v>12</v>
      </c>
      <c r="E17" t="s">
        <v>31</v>
      </c>
      <c r="F17" t="s">
        <v>22</v>
      </c>
      <c r="G17">
        <v>2</v>
      </c>
      <c r="H17">
        <v>35000</v>
      </c>
      <c r="I17">
        <v>70000</v>
      </c>
      <c r="J17">
        <v>60000</v>
      </c>
      <c r="K17">
        <v>10000</v>
      </c>
      <c r="L17" s="12" t="str">
        <f>TEXT(SalesData[[#This Row],[Order_Date]],"mmm")</f>
        <v>Feb</v>
      </c>
      <c r="M17" s="12" t="str">
        <f>"Q"&amp;ROUNDUP(MONTH(SalesData[[#This Row],[Order_Date]])/3,0)</f>
        <v>Q1</v>
      </c>
      <c r="N17" s="12">
        <f>YEAR(SalesData[[#This Row],[Order_Date]])</f>
        <v>2025</v>
      </c>
      <c r="O17" s="13">
        <f>SalesData[[#This Row],[Profit]]/SalesData[[#This Row],[Sales]]</f>
        <v>0.14285714285714285</v>
      </c>
    </row>
    <row r="18" spans="1:15" x14ac:dyDescent="0.45">
      <c r="A18">
        <v>1017</v>
      </c>
      <c r="B18" s="1">
        <v>45709</v>
      </c>
      <c r="C18" t="s">
        <v>11</v>
      </c>
      <c r="D18" t="s">
        <v>16</v>
      </c>
      <c r="E18" t="s">
        <v>32</v>
      </c>
      <c r="F18" t="s">
        <v>14</v>
      </c>
      <c r="G18">
        <v>6</v>
      </c>
      <c r="H18">
        <v>1800</v>
      </c>
      <c r="I18">
        <v>10800</v>
      </c>
      <c r="J18">
        <v>7000</v>
      </c>
      <c r="K18">
        <v>3800</v>
      </c>
      <c r="L18" s="12" t="str">
        <f>TEXT(SalesData[[#This Row],[Order_Date]],"mmm")</f>
        <v>Feb</v>
      </c>
      <c r="M18" s="12" t="str">
        <f>"Q"&amp;ROUNDUP(MONTH(SalesData[[#This Row],[Order_Date]])/3,0)</f>
        <v>Q1</v>
      </c>
      <c r="N18" s="12">
        <f>YEAR(SalesData[[#This Row],[Order_Date]])</f>
        <v>2025</v>
      </c>
      <c r="O18" s="13">
        <f>SalesData[[#This Row],[Profit]]/SalesData[[#This Row],[Sales]]</f>
        <v>0.35185185185185186</v>
      </c>
    </row>
    <row r="19" spans="1:15" x14ac:dyDescent="0.45">
      <c r="A19">
        <v>1018</v>
      </c>
      <c r="B19" s="1">
        <v>45712</v>
      </c>
      <c r="C19" t="s">
        <v>15</v>
      </c>
      <c r="D19" t="s">
        <v>35</v>
      </c>
      <c r="E19" t="s">
        <v>41</v>
      </c>
      <c r="F19" t="s">
        <v>18</v>
      </c>
      <c r="G19">
        <v>20</v>
      </c>
      <c r="H19">
        <v>150</v>
      </c>
      <c r="I19">
        <v>3000</v>
      </c>
      <c r="J19">
        <v>1200</v>
      </c>
      <c r="K19">
        <v>1800</v>
      </c>
      <c r="L19" s="12" t="str">
        <f>TEXT(SalesData[[#This Row],[Order_Date]],"mmm")</f>
        <v>Feb</v>
      </c>
      <c r="M19" s="12" t="str">
        <f>"Q"&amp;ROUNDUP(MONTH(SalesData[[#This Row],[Order_Date]])/3,0)</f>
        <v>Q1</v>
      </c>
      <c r="N19" s="12">
        <f>YEAR(SalesData[[#This Row],[Order_Date]])</f>
        <v>2025</v>
      </c>
      <c r="O19" s="13">
        <f>SalesData[[#This Row],[Profit]]/SalesData[[#This Row],[Sales]]</f>
        <v>0.6</v>
      </c>
    </row>
    <row r="20" spans="1:15" x14ac:dyDescent="0.45">
      <c r="A20">
        <v>1019</v>
      </c>
      <c r="B20" s="1">
        <v>45715</v>
      </c>
      <c r="C20" t="s">
        <v>19</v>
      </c>
      <c r="D20" t="s">
        <v>12</v>
      </c>
      <c r="E20" t="s">
        <v>33</v>
      </c>
      <c r="F20" t="s">
        <v>25</v>
      </c>
      <c r="G20">
        <v>5</v>
      </c>
      <c r="H20">
        <v>5000</v>
      </c>
      <c r="I20">
        <v>25000</v>
      </c>
      <c r="J20">
        <v>18000</v>
      </c>
      <c r="K20">
        <v>7000</v>
      </c>
      <c r="L20" s="12" t="str">
        <f>TEXT(SalesData[[#This Row],[Order_Date]],"mmm")</f>
        <v>Feb</v>
      </c>
      <c r="M20" s="12" t="str">
        <f>"Q"&amp;ROUNDUP(MONTH(SalesData[[#This Row],[Order_Date]])/3,0)</f>
        <v>Q1</v>
      </c>
      <c r="N20" s="12">
        <f>YEAR(SalesData[[#This Row],[Order_Date]])</f>
        <v>2025</v>
      </c>
      <c r="O20" s="13">
        <f>SalesData[[#This Row],[Profit]]/SalesData[[#This Row],[Sales]]</f>
        <v>0.28000000000000003</v>
      </c>
    </row>
    <row r="21" spans="1:15" x14ac:dyDescent="0.45">
      <c r="A21">
        <v>1020</v>
      </c>
      <c r="B21" s="1">
        <v>45716</v>
      </c>
      <c r="C21" t="s">
        <v>20</v>
      </c>
      <c r="D21" t="s">
        <v>16</v>
      </c>
      <c r="E21" t="s">
        <v>34</v>
      </c>
      <c r="F21" t="s">
        <v>22</v>
      </c>
      <c r="G21">
        <v>1</v>
      </c>
      <c r="H21">
        <v>55000</v>
      </c>
      <c r="I21">
        <v>55000</v>
      </c>
      <c r="J21">
        <v>47000</v>
      </c>
      <c r="K21">
        <v>8000</v>
      </c>
      <c r="L21" s="12" t="str">
        <f>TEXT(SalesData[[#This Row],[Order_Date]],"mmm")</f>
        <v>Feb</v>
      </c>
      <c r="M21" s="12" t="str">
        <f>"Q"&amp;ROUNDUP(MONTH(SalesData[[#This Row],[Order_Date]])/3,0)</f>
        <v>Q1</v>
      </c>
      <c r="N21" s="12">
        <f>YEAR(SalesData[[#This Row],[Order_Date]])</f>
        <v>2025</v>
      </c>
      <c r="O21" s="13">
        <f>SalesData[[#This Row],[Profit]]/SalesData[[#This Row],[Sales]]</f>
        <v>0.14545454545454545</v>
      </c>
    </row>
    <row r="22" spans="1:15" ht="14.65" thickBot="1" x14ac:dyDescent="0.5"/>
    <row r="23" spans="1:15" ht="14.65" thickBot="1" x14ac:dyDescent="0.5">
      <c r="B23" s="14" t="s">
        <v>46</v>
      </c>
      <c r="C23" s="15"/>
      <c r="D23" s="2"/>
    </row>
    <row r="24" spans="1:15" ht="14.65" thickBot="1" x14ac:dyDescent="0.5">
      <c r="B24" s="4" t="s">
        <v>47</v>
      </c>
      <c r="C24" s="11">
        <f>SUM(SalesData[Sales])</f>
        <v>694900</v>
      </c>
      <c r="D24" s="2"/>
    </row>
    <row r="25" spans="1:15" ht="14.65" thickBot="1" x14ac:dyDescent="0.5">
      <c r="B25" s="4" t="s">
        <v>48</v>
      </c>
      <c r="C25" s="6">
        <f>SUM(SalesData[Quantity])</f>
        <v>106</v>
      </c>
    </row>
    <row r="26" spans="1:15" ht="14.65" thickBot="1" x14ac:dyDescent="0.5">
      <c r="B26" s="5" t="s">
        <v>60</v>
      </c>
      <c r="C26" s="6">
        <f>SUM(SalesData[Profit])</f>
        <v>138400</v>
      </c>
    </row>
    <row r="27" spans="1:15" ht="14.65" thickBot="1" x14ac:dyDescent="0.5">
      <c r="B27" s="5" t="s">
        <v>49</v>
      </c>
      <c r="C27" s="7">
        <f>COUNTA(SalesData[Order_ID])</f>
        <v>20</v>
      </c>
    </row>
    <row r="28" spans="1:15" x14ac:dyDescent="0.45">
      <c r="B28" s="3"/>
      <c r="C28" s="3"/>
    </row>
  </sheetData>
  <mergeCells count="1">
    <mergeCell ref="B23:C2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3102-1527-4A08-92BD-3F83BE45D82A}">
  <dimension ref="A1:L9"/>
  <sheetViews>
    <sheetView workbookViewId="0">
      <selection activeCell="D9" sqref="D9"/>
    </sheetView>
  </sheetViews>
  <sheetFormatPr defaultRowHeight="14.25" x14ac:dyDescent="0.45"/>
  <cols>
    <col min="1" max="1" width="12.06640625" bestFit="1" customWidth="1"/>
    <col min="2" max="2" width="11.06640625" bestFit="1" customWidth="1"/>
    <col min="4" max="4" width="12.06640625" bestFit="1" customWidth="1"/>
    <col min="5" max="5" width="11.06640625" bestFit="1" customWidth="1"/>
    <col min="8" max="8" width="12.33203125" bestFit="1" customWidth="1"/>
    <col min="9" max="9" width="11.3984375" bestFit="1" customWidth="1"/>
    <col min="11" max="11" width="12.06640625" bestFit="1" customWidth="1"/>
    <col min="12" max="12" width="11.06640625" bestFit="1" customWidth="1"/>
    <col min="14" max="14" width="12.06640625" bestFit="1" customWidth="1"/>
    <col min="15" max="15" width="14.73046875" bestFit="1" customWidth="1"/>
    <col min="16" max="16" width="6.86328125" bestFit="1" customWidth="1"/>
    <col min="17" max="18" width="5.73046875" bestFit="1" customWidth="1"/>
    <col min="19" max="19" width="11" bestFit="1" customWidth="1"/>
    <col min="20" max="20" width="6.73046875" bestFit="1" customWidth="1"/>
    <col min="21" max="21" width="7.3984375" bestFit="1" customWidth="1"/>
    <col min="22" max="22" width="6.46484375" bestFit="1" customWidth="1"/>
    <col min="23" max="23" width="7.3984375" bestFit="1" customWidth="1"/>
    <col min="24" max="24" width="8.86328125" bestFit="1" customWidth="1"/>
    <col min="25" max="25" width="5.3984375" bestFit="1" customWidth="1"/>
    <col min="26" max="26" width="6.86328125" bestFit="1" customWidth="1"/>
    <col min="27" max="27" width="6.265625" bestFit="1" customWidth="1"/>
    <col min="28" max="28" width="7.19921875" bestFit="1" customWidth="1"/>
    <col min="29" max="29" width="5.73046875" bestFit="1" customWidth="1"/>
    <col min="30" max="30" width="7.265625" bestFit="1" customWidth="1"/>
    <col min="31" max="32" width="5.73046875" bestFit="1" customWidth="1"/>
    <col min="33" max="33" width="5.796875" bestFit="1" customWidth="1"/>
    <col min="34" max="34" width="8.9296875" bestFit="1" customWidth="1"/>
    <col min="35" max="35" width="10.19921875" bestFit="1" customWidth="1"/>
    <col min="36" max="36" width="8.6640625" bestFit="1" customWidth="1"/>
    <col min="37" max="37" width="11.3984375" bestFit="1" customWidth="1"/>
    <col min="38" max="38" width="8.06640625" bestFit="1" customWidth="1"/>
    <col min="39" max="39" width="10.796875" bestFit="1" customWidth="1"/>
    <col min="40" max="40" width="9" bestFit="1" customWidth="1"/>
    <col min="41" max="41" width="11.73046875" bestFit="1" customWidth="1"/>
    <col min="42" max="42" width="6.06640625" bestFit="1" customWidth="1"/>
    <col min="43" max="43" width="8.796875" bestFit="1" customWidth="1"/>
    <col min="45" max="45" width="11.796875" bestFit="1" customWidth="1"/>
    <col min="46" max="46" width="6.73046875" bestFit="1" customWidth="1"/>
    <col min="47" max="47" width="9.46484375" bestFit="1" customWidth="1"/>
    <col min="48" max="48" width="6.9296875" bestFit="1" customWidth="1"/>
    <col min="49" max="49" width="9.6640625" bestFit="1" customWidth="1"/>
    <col min="50" max="50" width="7.59765625" bestFit="1" customWidth="1"/>
    <col min="51" max="51" width="10.33203125" bestFit="1" customWidth="1"/>
    <col min="52" max="52" width="10.73046875" bestFit="1" customWidth="1"/>
    <col min="53" max="53" width="13.53125" bestFit="1" customWidth="1"/>
    <col min="54" max="54" width="10.19921875" bestFit="1" customWidth="1"/>
  </cols>
  <sheetData>
    <row r="1" spans="1:12" x14ac:dyDescent="0.45">
      <c r="A1" s="10" t="s">
        <v>53</v>
      </c>
      <c r="D1" s="10" t="s">
        <v>54</v>
      </c>
      <c r="H1" s="10" t="s">
        <v>57</v>
      </c>
      <c r="K1" s="10" t="s">
        <v>59</v>
      </c>
    </row>
    <row r="3" spans="1:12" x14ac:dyDescent="0.45">
      <c r="A3" s="8" t="s">
        <v>50</v>
      </c>
      <c r="B3" t="s">
        <v>52</v>
      </c>
      <c r="D3" s="8" t="s">
        <v>50</v>
      </c>
      <c r="E3" t="s">
        <v>52</v>
      </c>
      <c r="H3" s="8" t="s">
        <v>50</v>
      </c>
      <c r="I3" t="s">
        <v>58</v>
      </c>
      <c r="K3" s="8" t="s">
        <v>50</v>
      </c>
      <c r="L3" t="s">
        <v>52</v>
      </c>
    </row>
    <row r="4" spans="1:12" x14ac:dyDescent="0.45">
      <c r="A4" s="9" t="s">
        <v>20</v>
      </c>
      <c r="B4">
        <v>246600</v>
      </c>
      <c r="D4" s="9" t="s">
        <v>55</v>
      </c>
      <c r="E4">
        <v>419500</v>
      </c>
      <c r="H4" s="9" t="s">
        <v>12</v>
      </c>
      <c r="I4">
        <v>78000</v>
      </c>
      <c r="K4" s="9" t="s">
        <v>34</v>
      </c>
      <c r="L4">
        <v>55000</v>
      </c>
    </row>
    <row r="5" spans="1:12" x14ac:dyDescent="0.45">
      <c r="A5" s="9" t="s">
        <v>11</v>
      </c>
      <c r="B5">
        <v>154800</v>
      </c>
      <c r="D5" s="9" t="s">
        <v>56</v>
      </c>
      <c r="E5">
        <v>275400</v>
      </c>
      <c r="H5" s="9" t="s">
        <v>16</v>
      </c>
      <c r="I5">
        <v>39300</v>
      </c>
      <c r="K5" s="9" t="s">
        <v>31</v>
      </c>
      <c r="L5">
        <v>70000</v>
      </c>
    </row>
    <row r="6" spans="1:12" x14ac:dyDescent="0.45">
      <c r="A6" s="9" t="s">
        <v>19</v>
      </c>
      <c r="B6">
        <v>163000</v>
      </c>
      <c r="D6" s="9" t="s">
        <v>51</v>
      </c>
      <c r="E6">
        <v>694900</v>
      </c>
      <c r="H6" s="9" t="s">
        <v>35</v>
      </c>
      <c r="I6">
        <v>21100</v>
      </c>
      <c r="K6" s="9" t="s">
        <v>13</v>
      </c>
      <c r="L6">
        <v>110000</v>
      </c>
    </row>
    <row r="7" spans="1:12" x14ac:dyDescent="0.45">
      <c r="A7" s="9" t="s">
        <v>15</v>
      </c>
      <c r="B7">
        <v>130500</v>
      </c>
      <c r="H7" s="9" t="s">
        <v>51</v>
      </c>
      <c r="I7">
        <v>138400</v>
      </c>
      <c r="K7" s="9" t="s">
        <v>21</v>
      </c>
      <c r="L7">
        <v>88000</v>
      </c>
    </row>
    <row r="8" spans="1:12" x14ac:dyDescent="0.45">
      <c r="A8" s="9" t="s">
        <v>51</v>
      </c>
      <c r="B8">
        <v>694900</v>
      </c>
      <c r="K8" s="9" t="s">
        <v>27</v>
      </c>
      <c r="L8">
        <v>60000</v>
      </c>
    </row>
    <row r="9" spans="1:12" x14ac:dyDescent="0.45">
      <c r="K9" s="9" t="s">
        <v>51</v>
      </c>
      <c r="L9">
        <v>383000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835B4-43FC-42A5-9E24-2AE0C9FC2023}">
  <dimension ref="A1"/>
  <sheetViews>
    <sheetView showGridLines="0" showRowColHeaders="0" workbookViewId="0"/>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Prashansha Dubey</dc:creator>
  <cp:lastModifiedBy>Prashansha Dubey</cp:lastModifiedBy>
  <dcterms:created xsi:type="dcterms:W3CDTF">2026-04-24T11:54:52Z</dcterms:created>
  <dcterms:modified xsi:type="dcterms:W3CDTF">2026-05-01T11:02:33Z</dcterms:modified>
</cp:coreProperties>
</file>